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Gastos" sheetId="2" state="visible" r:id="rId4"/>
    <sheet name="Roteiro" sheetId="3" state="visible" r:id="rId5"/>
    <sheet name="Por Dia" sheetId="4" state="visible" r:id="rId6"/>
    <sheet name="Listas" sheetId="5" state="visible" r:id="rId7"/>
  </sheets>
  <definedNames>
    <definedName function="false" hidden="false" localSheetId="1" name="_xlnm.Print_Area" vbProcedure="false">Gastos!$A$1:$P$180</definedName>
    <definedName function="false" hidden="false" localSheetId="1" name="_xlnm.Print_Titles" vbProcedure="false">Gastos!$6:$6</definedName>
    <definedName function="false" hidden="true" localSheetId="1" name="_xlnm._FilterDatabase" vbProcedure="false">Gastos!$A$6:$P$180</definedName>
    <definedName function="false" hidden="false" localSheetId="4" name="_xlnm.Print_Area" vbProcedure="false">Listas!$A$1:$M$28</definedName>
    <definedName function="false" hidden="false" localSheetId="0" name="_xlnm.Print_Area" vbProcedure="false">Painel!$A$1:$I$59</definedName>
    <definedName function="false" hidden="false" localSheetId="3" name="_xlnm.Print_Area" vbProcedure="false">'Por Dia'!$A$1:$I$47</definedName>
    <definedName function="false" hidden="false" localSheetId="3" name="_xlnm.Print_Titles" vbProcedure="false">'Por Dia'!$6:$6</definedName>
    <definedName function="false" hidden="false" localSheetId="2" name="_xlnm.Print_Area" vbProcedure="false">Roteiro!$A$1:$K$103</definedName>
    <definedName function="false" hidden="false" name="CATEGORIAS" vbProcedure="false">OFFSET(Listas!$B$7,0,0,MAX(1,COUNTA(Listas!$B$7:$B$26)),1)</definedName>
    <definedName function="false" hidden="false" name="CIDADES" vbProcedure="false">OFFSET(Listas!$J$7,0,0,MAX(1,COUNTA(Listas!$J$7:$J$26)),1)</definedName>
    <definedName function="false" hidden="false" name="MOEDAS" vbProcedure="false">Painel!$E$8:$E$10</definedName>
    <definedName function="false" hidden="false" name="PAGAMENTOS" vbProcedure="false">OFFSET(Listas!$D$7,0,0,MAX(1,COUNTA(Listas!$D$7:$D$26)),1)</definedName>
    <definedName function="false" hidden="false" name="PESSOAS" vbProcedure="false">OFFSET(Listas!$H$7,0,0,MAX(1,COUNTA(Listas!$H$7:$H$26)),1)</definedName>
    <definedName function="false" hidden="false" name="STATUS" vbProcedure="false">OFFSET(Listas!$F$7,0,0,MAX(1,COUNTA(Listas!$F$7:$F$26)),1)</definedName>
    <definedName function="false" hidden="false" name="STATUS_RESERVA" vbProcedure="false">OFFSET(Listas!$L$7,0,0,MAX(1,COUNTA(Listas!$L$7:$L$26)),1)</definedName>
    <definedName function="false" hidden="false" name="TAXAS" vbProcedure="false">Painel!$F$8:$F$10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<sst xmlns="http://schemas.openxmlformats.org/spreadsheetml/2006/main" count="393" uniqueCount="326">
  <si>
    <t xml:space="preserve">CONTROLE DE GASTOS  •  JAPÃO 2027</t>
  </si>
  <si>
    <t xml:space="preserve">30 de abril a 16 de maio de 2027  •  Tóquio, Quioto e Osaka  •  17 dias, 16 noites</t>
  </si>
  <si>
    <t xml:space="preserve">DADOS DA VIAGEM</t>
  </si>
  <si>
    <t xml:space="preserve">CÂMBIO — quanto vale 1 unidade em R$</t>
  </si>
  <si>
    <t xml:space="preserve">Data de ida</t>
  </si>
  <si>
    <t xml:space="preserve">Moeda</t>
  </si>
  <si>
    <t xml:space="preserve">Cotação (R$)</t>
  </si>
  <si>
    <t xml:space="preserve">Fonte da cotação</t>
  </si>
  <si>
    <t xml:space="preserve">Data de volta</t>
  </si>
  <si>
    <t xml:space="preserve">JPY</t>
  </si>
  <si>
    <t xml:space="preserve">Iene japonês  -  Wise, faixa 0,0322-0,0326 na semana de 04-14/08/2026</t>
  </si>
  <si>
    <t xml:space="preserve">Nº de viajantes</t>
  </si>
  <si>
    <t xml:space="preserve">BRL</t>
  </si>
  <si>
    <t xml:space="preserve">Real brasileiro  -  moeda base da planilha</t>
  </si>
  <si>
    <t xml:space="preserve">Parcelas vencem todo dia</t>
  </si>
  <si>
    <t xml:space="preserve">USD</t>
  </si>
  <si>
    <t xml:space="preserve">Dólar americano  -  fechamento de 13/08/2026 (R$ 5,1896)</t>
  </si>
  <si>
    <t xml:space="preserve">Duração (dias)</t>
  </si>
  <si>
    <t xml:space="preserve">Cotações apuradas em 15/08/2026. Como a viagem é em 2027, trate como referência e atualize antes de comprar e durante a viagem.</t>
  </si>
  <si>
    <t xml:space="preserve">Orçamento total (R$)</t>
  </si>
  <si>
    <t xml:space="preserve">RESUMO</t>
  </si>
  <si>
    <t xml:space="preserve">TOTAL GASTO</t>
  </si>
  <si>
    <t xml:space="preserve">JÁ PAGO (parcelas incluídas)</t>
  </si>
  <si>
    <t xml:space="preserve">AINDA A PAGAR</t>
  </si>
  <si>
    <t xml:space="preserve">SALDO DO ORÇAMENTO</t>
  </si>
  <si>
    <t xml:space="preserve">GASTO POR PESSOA</t>
  </si>
  <si>
    <t xml:space="preserve">GASTO POR DIA DE VIAGEM</t>
  </si>
  <si>
    <t xml:space="preserve">FALTA PAGAR EM PARCELAS</t>
  </si>
  <si>
    <t xml:space="preserve">PRÓXIMA PARCELA VENCE EM</t>
  </si>
  <si>
    <t xml:space="preserve">GASTOS POR CATEGORIA  —  preencha a coluna Orçamento com os seus valores</t>
  </si>
  <si>
    <t xml:space="preserve">Categoria</t>
  </si>
  <si>
    <t xml:space="preserve">Orçamento (R$)</t>
  </si>
  <si>
    <t xml:space="preserve">Gasto (R$)</t>
  </si>
  <si>
    <t xml:space="preserve">Já pago</t>
  </si>
  <si>
    <t xml:space="preserve">Em aberto</t>
  </si>
  <si>
    <t xml:space="preserve">% do total</t>
  </si>
  <si>
    <t xml:space="preserve">Saldo do orçamento</t>
  </si>
  <si>
    <t xml:space="preserve">Lançamentos</t>
  </si>
  <si>
    <t xml:space="preserve">TOTAL</t>
  </si>
  <si>
    <t xml:space="preserve">POR FORMA DE PAGAMENTO</t>
  </si>
  <si>
    <t xml:space="preserve">POR PESSOA</t>
  </si>
  <si>
    <t xml:space="preserve">Forma de pagamento</t>
  </si>
  <si>
    <t xml:space="preserve">Total (R$)</t>
  </si>
  <si>
    <t xml:space="preserve">Quem pagou</t>
  </si>
  <si>
    <t xml:space="preserve">COMO USAR ESTA PLANILHA</t>
  </si>
  <si>
    <t xml:space="preserve">1.  Atualize as cotações (célula amarela) sempre que for comprar algo em iene.</t>
  </si>
  <si>
    <t xml:space="preserve">2.  Defina o orçamento de cada categoria na coluna "Orçamento (R$)" acima. Ela nasce vazia de propósito — a aba ROTEIRO traz faixas de custo reais para você se basear.</t>
  </si>
  <si>
    <t xml:space="preserve">3.  Lance cada gasto na aba GASTOS, uma linha por gasto. As colunas com seta abrem menu suspenso.</t>
  </si>
  <si>
    <t xml:space="preserve">4.  Digite o valor na moeda em que pagou e escolha a moeda — a conversão para real é automática.</t>
  </si>
  <si>
    <t xml:space="preserve">5.  Marque o STATUS (Pago / Pendente / Parcelado / Reembolsado). Este painel se atualiza sozinho.</t>
  </si>
  <si>
    <t xml:space="preserve">6.  PARCELOU? Marque o status como "Parcelado", preencha o Nº de parcelas e a data da 1ª parcela. A planilha conta sozinha quantas já venceram e joga o valor certo em "Já pago" a cada mês — sem você precisar mexer em nada. Se esquecer de preencher, a célula fica vermelha.</t>
  </si>
  <si>
    <t xml:space="preserve">ATENÇÃO: a viagem começa dentro da Golden Week japonesa (29/04 a 05/05/2027), o feriadão mais movimentado do Japão. Veja o alerta na aba ROTEIRO antes de reservar qualquer coisa.</t>
  </si>
  <si>
    <t xml:space="preserve">Amarelo = você preenche.    Cinza = calculado automaticamente, não precisa mexer.</t>
  </si>
  <si>
    <t xml:space="preserve">LANÇAMENTO DE GASTOS  •  JAPÃO 2027</t>
  </si>
  <si>
    <t xml:space="preserve">Uma linha por gasto. As colunas cinza são calculadas sozinhas — inclusive as parcelas, que avançam automaticamente a cada vencimento.</t>
  </si>
  <si>
    <t xml:space="preserve">Data</t>
  </si>
  <si>
    <t xml:space="preserve">Descrição</t>
  </si>
  <si>
    <t xml:space="preserve">Cidade / Local</t>
  </si>
  <si>
    <t xml:space="preserve">Status</t>
  </si>
  <si>
    <t xml:space="preserve">Valor pago</t>
  </si>
  <si>
    <t xml:space="preserve">Valor total (R$)</t>
  </si>
  <si>
    <t xml:space="preserve">Nº de parcelas</t>
  </si>
  <si>
    <t xml:space="preserve">1ª parcela em</t>
  </si>
  <si>
    <t xml:space="preserve">Parcelas pagas</t>
  </si>
  <si>
    <t xml:space="preserve">Já pago (R$)</t>
  </si>
  <si>
    <t xml:space="preserve">Ainda a pagar (R$)</t>
  </si>
  <si>
    <t xml:space="preserve">Observações</t>
  </si>
  <si>
    <t xml:space="preserve">Passagens Aéreas</t>
  </si>
  <si>
    <t xml:space="preserve">Passagens aéreas Brasil - Tóquio (ida e volta, 2 pessoas)</t>
  </si>
  <si>
    <t xml:space="preserve">Brasil (pré-viagem)</t>
  </si>
  <si>
    <t xml:space="preserve">Dividido</t>
  </si>
  <si>
    <t xml:space="preserve">Parcelado</t>
  </si>
  <si>
    <t xml:space="preserve">Parcelado em 9x, todo dia 3. Preencha a data da compra e a forma de pagamento.</t>
  </si>
  <si>
    <t xml:space="preserve">ROTEIRO E DICAS  •  JAPÃO 2027</t>
  </si>
  <si>
    <t xml:space="preserve">Sugestão de 17 dias entrando e saindo por Tóquio, com Quioto, Osaka, Monte Fuji e Tokyo Disney</t>
  </si>
  <si>
    <t xml:space="preserve">ATENÇÃO — SUA VIAGEM COMEÇA DENTRO DA GOLDEN WEEK</t>
  </si>
  <si>
    <t xml:space="preserve">A Golden Week de 2027 vai de quinta 29/04 a quarta 05/05 — quatro feriados nacionais emendados. É o feriadão em que o Japão inteiro viaja ao mesmo tempo.</t>
  </si>
  <si>
    <t xml:space="preserve">Pico de saída das cidades: 29 e 30/04 (vocês pousam justamente no dia 30).  Pico de volta: 04 e 05/05.  Nesses dias, evite deslocamento entre cidades.</t>
  </si>
  <si>
    <t xml:space="preserve">Por isso o roteiro abaixo mantém vocês parados em Tóquio até 07/05 e só então desce para Quioto: shinkansen lotado e hotel caro nessas datas, e a cidade fica mais tranquila porque muito japonês viaja para fora.</t>
  </si>
  <si>
    <t xml:space="preserve">Consequência prática: a hospedagem em Tóquio de 30/04 a 07/05 é a reserva mais urgente de todas. Hotel bom em Golden Week esgota com meses de antecedência.</t>
  </si>
  <si>
    <t xml:space="preserve">RESUMO DO ROTEIRO</t>
  </si>
  <si>
    <t xml:space="preserve">Trecho</t>
  </si>
  <si>
    <t xml:space="preserve">Datas</t>
  </si>
  <si>
    <t xml:space="preserve">Noites</t>
  </si>
  <si>
    <t xml:space="preserve">Por quê</t>
  </si>
  <si>
    <t xml:space="preserve">Tóquio</t>
  </si>
  <si>
    <t xml:space="preserve">30/04 a 07/05</t>
  </si>
  <si>
    <t xml:space="preserve">Atravessar a Golden Week sem trocar de cidade</t>
  </si>
  <si>
    <t xml:space="preserve">Monte Fuji (bate-volta)</t>
  </si>
  <si>
    <t xml:space="preserve">06/05</t>
  </si>
  <si>
    <t xml:space="preserve">—</t>
  </si>
  <si>
    <t xml:space="preserve">Feriadão acabou: estrada e ônibus liberam</t>
  </si>
  <si>
    <t xml:space="preserve">Tokyo Disney</t>
  </si>
  <si>
    <t xml:space="preserve">07/05</t>
  </si>
  <si>
    <t xml:space="preserve">Sexta pós-feriado: dia mais calmo do período</t>
  </si>
  <si>
    <t xml:space="preserve">Quioto</t>
  </si>
  <si>
    <t xml:space="preserve">08/05 a 12/05</t>
  </si>
  <si>
    <t xml:space="preserve">Templos, Arashiyama e bate-volta a Nara</t>
  </si>
  <si>
    <t xml:space="preserve">Osaka</t>
  </si>
  <si>
    <t xml:space="preserve">12/05 a 15/05</t>
  </si>
  <si>
    <t xml:space="preserve">Comida, Dotonbori e Universal Studios (opcional)</t>
  </si>
  <si>
    <t xml:space="preserve">Tóquio (última noite)</t>
  </si>
  <si>
    <t xml:space="preserve">15/05 a 16/05</t>
  </si>
  <si>
    <t xml:space="preserve">Volta de shinkansen e voo no dia 16</t>
  </si>
  <si>
    <t xml:space="preserve">ROTEIRO DIA A DIA  —  sugestão, ajuste como quiser</t>
  </si>
  <si>
    <t xml:space="preserve">Dia</t>
  </si>
  <si>
    <t xml:space="preserve">Base</t>
  </si>
  <si>
    <t xml:space="preserve">Programa sugerido</t>
  </si>
  <si>
    <t xml:space="preserve">Observação</t>
  </si>
  <si>
    <t xml:space="preserve">30/04</t>
  </si>
  <si>
    <t xml:space="preserve">sex</t>
  </si>
  <si>
    <t xml:space="preserve">Chegada. Comprar o IC card (Welcome Suica / Tourist Pasmo) no aeroporto, check-in e um jantar leve perto do hotel.</t>
  </si>
  <si>
    <t xml:space="preserve">Pico da Golden Week. Não marque nada exigente no dia da chegada.</t>
  </si>
  <si>
    <t xml:space="preserve">01/05</t>
  </si>
  <si>
    <t xml:space="preserve">sáb</t>
  </si>
  <si>
    <t xml:space="preserve">Shibuya (cruzamento e Shibuya Sky), Harajuku e Takeshita, Meiji Jingu, Omotesando.</t>
  </si>
  <si>
    <t xml:space="preserve">Shibuya Sky é ingresso datado — compre online semanas antes.</t>
  </si>
  <si>
    <t xml:space="preserve">02/05</t>
  </si>
  <si>
    <t xml:space="preserve">dom</t>
  </si>
  <si>
    <t xml:space="preserve">Asakusa e o templo Senso-ji, rua Nakamise, Tokyo Skytree, parque e museus de Ueno.</t>
  </si>
  <si>
    <t xml:space="preserve">Chegue em Senso-ji antes das 9h para escapar do fluxo.</t>
  </si>
  <si>
    <t xml:space="preserve">03/05</t>
  </si>
  <si>
    <t xml:space="preserve">seg</t>
  </si>
  <si>
    <t xml:space="preserve">Shinjuku: jardim Gyoen, Omoide Yokocho, Kabukicho e o mirante grátis do Tocho.</t>
  </si>
  <si>
    <t xml:space="preserve">Feriado da Constituição. Prefira bairro a cartão-postal.</t>
  </si>
  <si>
    <t xml:space="preserve">04/05</t>
  </si>
  <si>
    <t xml:space="preserve">ter</t>
  </si>
  <si>
    <t xml:space="preserve">teamLab, Odaiba, ou Ginza com o mercado externo de Tsukiji pela manhã.</t>
  </si>
  <si>
    <t xml:space="preserve">Feriado. teamLab é ingresso datado, esgota.</t>
  </si>
  <si>
    <t xml:space="preserve">05/05</t>
  </si>
  <si>
    <t xml:space="preserve">qua</t>
  </si>
  <si>
    <t xml:space="preserve">Bairros com menos turista: Shimokitazawa, Nakameguro, Yanaka, Koenji. Akihabara à noite.</t>
  </si>
  <si>
    <t xml:space="preserve">Último feriado do bloco e pico de volta às cidades.</t>
  </si>
  <si>
    <t xml:space="preserve">qui</t>
  </si>
  <si>
    <t xml:space="preserve">Monte Fuji</t>
  </si>
  <si>
    <t xml:space="preserve">Bate-volta a Kawaguchiko: pagode Chureito, Oishi Park, lago Kawaguchi. Se o festival estiver aberto, Fuji Shibazakura.</t>
  </si>
  <si>
    <t xml:space="preserve">Ônibus do terminal Busta Shinjuku, ~2h, reserve antes. Festival costuma ir de meados de abril a fim de maio — confirme as datas de 2027.</t>
  </si>
  <si>
    <t xml:space="preserve">Um dia inteiro: DisneySea (único no mundo, área Fantasy Springs) ou Disneyland (o clássico).</t>
  </si>
  <si>
    <t xml:space="preserve">Ingresso entra à venda exatamente 2 meses antes, 14h no Japão = 02h de Brasília do dia 07/03/2027. Datas boas esgotam em horas.</t>
  </si>
  <si>
    <t xml:space="preserve">08/05</t>
  </si>
  <si>
    <t xml:space="preserve">Tóquio → Quioto</t>
  </si>
  <si>
    <t xml:space="preserve">Shinkansen de manhã (~2h15). À tarde, Higashiyama: Kiyomizu-dera e Gion no fim do dia.</t>
  </si>
  <si>
    <t xml:space="preserve">Reserve assento pelo smartEX. Considere mandar a mala por takkyubin.</t>
  </si>
  <si>
    <t xml:space="preserve">09/05</t>
  </si>
  <si>
    <t xml:space="preserve">Arashiyama: bambuzal, templo Tenryu-ji e o parque dos macacos. À tarde, Kinkaku-ji (Pavilhão Dourado).</t>
  </si>
  <si>
    <t xml:space="preserve">Bambuzal antes das 8h ou depois das 17h — no meio do dia é impraticável.</t>
  </si>
  <si>
    <t xml:space="preserve">10/05</t>
  </si>
  <si>
    <t xml:space="preserve">Fushimi Inari (os mil torii), templo Tofuku-ji e mercado Nishiki.</t>
  </si>
  <si>
    <t xml:space="preserve">Fushimi Inari é aberto 24h e de graça: vá bem cedo ou no fim da tarde.</t>
  </si>
  <si>
    <t xml:space="preserve">11/05</t>
  </si>
  <si>
    <t xml:space="preserve">Nara</t>
  </si>
  <si>
    <t xml:space="preserve">Bate-volta de ~45 min: Todai-ji e o Grande Buda, parque dos cervos, Kasuga Taisha.</t>
  </si>
  <si>
    <t xml:space="preserve">Trem Kintetsu saindo de Quioto. Meio dia dá, mas o dia inteiro rende mais.</t>
  </si>
  <si>
    <t xml:space="preserve">12/05</t>
  </si>
  <si>
    <t xml:space="preserve">Quioto → Osaka</t>
  </si>
  <si>
    <t xml:space="preserve">Manhã em Quioto (Ginkaku-ji e o Caminho do Filósofo). À tarde, trem para Osaka e Dotonbori à noite.</t>
  </si>
  <si>
    <t xml:space="preserve">Quioto-Osaka é ~15 min de shinkansen ou ~30 min de trem comum.</t>
  </si>
  <si>
    <t xml:space="preserve">13/05</t>
  </si>
  <si>
    <t xml:space="preserve">Castelo de Osaka, Umeda Sky Building, Shinsekai e Tsutenkaku, mercado Kuromon.</t>
  </si>
  <si>
    <t xml:space="preserve">Alternativa: trocar o dia inteiro pelo Universal Studios Japan (ingresso antecipado).</t>
  </si>
  <si>
    <t xml:space="preserve">14/05</t>
  </si>
  <si>
    <t xml:space="preserve">Dia livre: compras em Shinsaibashi e Namba, ou bate-volta a Kobe ou ao castelo de Himeji.</t>
  </si>
  <si>
    <t xml:space="preserve">Bom dia para compras: tax-free acima de ¥5.000 apresentando o passaporte.</t>
  </si>
  <si>
    <t xml:space="preserve">15/05</t>
  </si>
  <si>
    <t xml:space="preserve">Osaka → Tóquio</t>
  </si>
  <si>
    <t xml:space="preserve">Shinkansen (~2h30). Últimas compras e hotel perto da estação ou do aeroporto.</t>
  </si>
  <si>
    <t xml:space="preserve">Sábado é movimentado: reserve o trem com antecedência.</t>
  </si>
  <si>
    <t xml:space="preserve">16/05</t>
  </si>
  <si>
    <t xml:space="preserve">Voo de volta</t>
  </si>
  <si>
    <t xml:space="preserve">Traslado ao aeroporto: Narita ~1h a 1h30, Haneda ~40 min.</t>
  </si>
  <si>
    <t xml:space="preserve">Chegue 3h antes. Dá para devolver o IC card e resgatar o saldo.</t>
  </si>
  <si>
    <t xml:space="preserve">O QUE VER EM CADA LUGAR</t>
  </si>
  <si>
    <t xml:space="preserve">Lugar</t>
  </si>
  <si>
    <t xml:space="preserve">Destaques</t>
  </si>
  <si>
    <t xml:space="preserve">Shibuya e o cruzamento • Shibuya Sky • Shinjuku e o Gyoen • Asakusa e Senso-ji • Tokyo Skytree • Ueno • Akihabara • Ginza e Tsukiji • Meiji Jingu e Harajuku • teamLab • Yanaka e Shimokitazawa para fugir da multidão</t>
  </si>
  <si>
    <t xml:space="preserve">Monte Fuji / Kawaguchiko</t>
  </si>
  <si>
    <t xml:space="preserve">Pagode Chureito (a foto clássica) • Oishi Park à beira do lago Kawaguchi • teleférico Kachi Kachi • Fuji Shibazakura, o tapete de flores rosa, que costuma abrir de meados de abril a fim de maio</t>
  </si>
  <si>
    <t xml:space="preserve">DisneySea: não existe igual no mundo, e a área Fantasy Springs é a mais nova • Disneyland: o parque clássico, melhor com crianças • Premier Access no app para furar fila em atração específica</t>
  </si>
  <si>
    <t xml:space="preserve">Kiyomizu-dera • Fushimi Inari • Arashiyama e o bambuzal • Kinkaku-ji • Ginkaku-ji e o Caminho do Filósofo • Gion ao entardecer • mercado Nishiki • Ryoan-ji e seu jardim zen</t>
  </si>
  <si>
    <t xml:space="preserve">Nara (bate-volta)</t>
  </si>
  <si>
    <t xml:space="preserve">Todai-ji e o Grande Buda de bronze • parque dos cervos soltos • Kasuga Taisha e suas lanternas</t>
  </si>
  <si>
    <t xml:space="preserve">Dotonbori e o letreiro do Glico • Namba • Castelo de Osaka • Umeda Sky Building • Shinsekai e Tsutenkaku • mercado Kuromon • Universal Studios Japan</t>
  </si>
  <si>
    <t xml:space="preserve">O QUE RESERVAR E QUANDO  —  em ordem de urgência</t>
  </si>
  <si>
    <t xml:space="preserve">O que reservar</t>
  </si>
  <si>
    <t xml:space="preserve">Quando</t>
  </si>
  <si>
    <t xml:space="preserve">Hospedagem em Tóquio (30/04 a 07/05)</t>
  </si>
  <si>
    <t xml:space="preserve">Assim que possível — é Golden Week, esgota com meses de antecedência</t>
  </si>
  <si>
    <t xml:space="preserve">A fazer</t>
  </si>
  <si>
    <t xml:space="preserve">Hospedagem em Quioto (08 a 12/05) e Osaka (12 a 15/05)</t>
  </si>
  <si>
    <t xml:space="preserve">4 a 6 meses antes</t>
  </si>
  <si>
    <t xml:space="preserve">Ingresso do Tokyo Disney</t>
  </si>
  <si>
    <t xml:space="preserve">07/03/2027, às 02h de Brasília (14h no Japão) — exatamente 2 meses antes</t>
  </si>
  <si>
    <t xml:space="preserve">Shinkansen Tóquio→Quioto e Osaka→Tóquio</t>
  </si>
  <si>
    <t xml:space="preserve">Abre 1 mês antes, pelo smartEX ou nos sites da JR</t>
  </si>
  <si>
    <t xml:space="preserve">Ônibus Shinjuku → Kawaguchiko (Monte Fuji)</t>
  </si>
  <si>
    <t xml:space="preserve">Semanas antes; é ônibus com assento marcado</t>
  </si>
  <si>
    <t xml:space="preserve">Shibuya Sky e teamLab</t>
  </si>
  <si>
    <t xml:space="preserve">Ingressos datados, semanas antes</t>
  </si>
  <si>
    <t xml:space="preserve">Universal Studios Japan (se decidirem ir)</t>
  </si>
  <si>
    <t xml:space="preserve">Semanas antes, com Express Pass se quiserem furar fila</t>
  </si>
  <si>
    <t xml:space="preserve">Seguro viagem</t>
  </si>
  <si>
    <t xml:space="preserve">Antes de embarcar</t>
  </si>
  <si>
    <t xml:space="preserve">Passaporte eletrônico (com chip) válido</t>
  </si>
  <si>
    <t xml:space="preserve">Já — a isenção de visto exige passaporte biométrico</t>
  </si>
  <si>
    <t xml:space="preserve">Chip / eSIM ou pocket wi-fi</t>
  </si>
  <si>
    <t xml:space="preserve">Semanas antes, ou eSIM na véspera</t>
  </si>
  <si>
    <t xml:space="preserve">Cartão internacional e algum iene em espécie</t>
  </si>
  <si>
    <t xml:space="preserve">Semanas antes</t>
  </si>
  <si>
    <t xml:space="preserve">Hotel da última noite perto do aeroporto</t>
  </si>
  <si>
    <t xml:space="preserve">Junto com o resto</t>
  </si>
  <si>
    <t xml:space="preserve">FAIXAS DE CUSTO PARA VOCÊ SE BASEAR  —  fontes públicas consultadas em ago/2026</t>
  </si>
  <si>
    <t xml:space="preserve">Estes NÃO são o orçamento de vocês — são faixas publicadas por guias de viagem, para servir de ponto de partida ao preencher a coluna Orçamento do Painel. Valores em iene; converta pela cotação do Painel.</t>
  </si>
  <si>
    <t xml:space="preserve">Item</t>
  </si>
  <si>
    <t xml:space="preserve">Faixa de referência</t>
  </si>
  <si>
    <t xml:space="preserve">Diária por pessoa, perfil intermediário</t>
  </si>
  <si>
    <t xml:space="preserve">¥20.000 a ¥35.000</t>
  </si>
  <si>
    <t xml:space="preserve">Tudo incluído: hotel, comida e transporte</t>
  </si>
  <si>
    <t xml:space="preserve">Diária por pessoa, perfil econômico</t>
  </si>
  <si>
    <t xml:space="preserve">¥10.000 a ¥15.000</t>
  </si>
  <si>
    <t xml:space="preserve">Hostel, konbini e transporte local</t>
  </si>
  <si>
    <t xml:space="preserve">Hotel business (quarto)</t>
  </si>
  <si>
    <t xml:space="preserve">¥6.000 a ¥12.000 / noite</t>
  </si>
  <si>
    <t xml:space="preserve">Padrão em Tóquio, Quioto e Osaka</t>
  </si>
  <si>
    <t xml:space="preserve">Hostel ou cápsula</t>
  </si>
  <si>
    <t xml:space="preserve">¥3.000 a ¥5.000 / noite</t>
  </si>
  <si>
    <t xml:space="preserve">Por pessoa</t>
  </si>
  <si>
    <t xml:space="preserve">Almoço (ramen, teishoku)</t>
  </si>
  <si>
    <t xml:space="preserve">¥1.000 a ¥1.500</t>
  </si>
  <si>
    <t xml:space="preserve">Jantar em izakaya</t>
  </si>
  <si>
    <t xml:space="preserve">¥2.500 a ¥4.500</t>
  </si>
  <si>
    <t xml:space="preserve">Transporte local por dia</t>
  </si>
  <si>
    <t xml:space="preserve">¥1.000 a ¥2.000</t>
  </si>
  <si>
    <t xml:space="preserve">Metrô e ônibus, por pessoa</t>
  </si>
  <si>
    <t xml:space="preserve">Shinkansen Tóquio ↔ Osaka (ida e volta)</t>
  </si>
  <si>
    <t xml:space="preserve">cerca de ¥29.000</t>
  </si>
  <si>
    <t xml:space="preserve">Bilhete avulso, por pessoa</t>
  </si>
  <si>
    <t xml:space="preserve">Tokyo Disney — 1-Day Passport</t>
  </si>
  <si>
    <t xml:space="preserve">¥7.900 a ¥10.900</t>
  </si>
  <si>
    <t xml:space="preserve">Preço varia conforme a lotação do dia</t>
  </si>
  <si>
    <t xml:space="preserve">Tokyo Disney — Premier Access</t>
  </si>
  <si>
    <t xml:space="preserve">¥1.500 a ¥2.000 por atração</t>
  </si>
  <si>
    <t xml:space="preserve">Opcional, comprado no app dentro do parque</t>
  </si>
  <si>
    <t xml:space="preserve">Entrada do Fuji Shibazakura</t>
  </si>
  <si>
    <t xml:space="preserve">¥1.000 a ¥1.300</t>
  </si>
  <si>
    <t xml:space="preserve">Mais caro na janela de pico do feriadão</t>
  </si>
  <si>
    <t xml:space="preserve">Ônibus + entrada do Shibazakura (combo)</t>
  </si>
  <si>
    <t xml:space="preserve">cerca de ¥3.000</t>
  </si>
  <si>
    <t xml:space="preserve">Shibazakura Liner, saindo de Kawaguchiko</t>
  </si>
  <si>
    <t xml:space="preserve">JR Pass 7 dias / 14 dias</t>
  </si>
  <si>
    <t xml:space="preserve">¥50.000 / ¥80.000</t>
  </si>
  <si>
    <t xml:space="preserve">Veja a dica abaixo: para este roteiro NÃO compensa</t>
  </si>
  <si>
    <t xml:space="preserve">DICAS PRÁTICAS</t>
  </si>
  <si>
    <t xml:space="preserve">VISTO</t>
  </si>
  <si>
    <t xml:space="preserve">Brasileiro está isento de visto de turismo para o Japão até 29/09/2029, para estadas de até 90 dias — mas exige passaporte eletrônico, com chip. A isenção não garante entrada: a imigração pode pedir comprovante de hospedagem, passagem de volta e recursos financeiros.</t>
  </si>
  <si>
    <t xml:space="preserve">JR PASS</t>
  </si>
  <si>
    <t xml:space="preserve">Para este roteiro, não compensa. O passe de 7 dias custa ¥50.000 e o trecho Tóquio→Quioto→Osaka→Tóquio avulso sai por volta de ¥29.000. Comprem bilhetes avulsos e, se quiserem, um passe regional do Kansai (a partir de ¥2.400) para os dias em Quioto e Osaka.</t>
  </si>
  <si>
    <t xml:space="preserve">IC CARD</t>
  </si>
  <si>
    <t xml:space="preserve">Peguem o Welcome Suica ou o Tourist Pasmo no balcão do aeroporto: sem depósito, valem 28 dias. Carreguem ¥2.000 a ¥3.000 em dinheiro e usem em trem, metrô, ônibus, armário e loja de conveniência.</t>
  </si>
  <si>
    <t xml:space="preserve">SHINKANSEN</t>
  </si>
  <si>
    <t xml:space="preserve">O IC card não cobre o shinkansen. Reservem pelo smartEX, que abre 1 mês antes, e vinculem o Suica para passar direto na catraca.</t>
  </si>
  <si>
    <t xml:space="preserve">DINHEIRO</t>
  </si>
  <si>
    <t xml:space="preserve">O Japão mistura cartão e dinheiro vivo. Levem iene em espécie. Caixas eletrônicos do 7-Eleven e do Lawson funcionam 24h e aceitam cartão estrangeiro.</t>
  </si>
  <si>
    <t xml:space="preserve">TAX-FREE</t>
  </si>
  <si>
    <t xml:space="preserve">Compras acima de ¥5.000 em loja credenciada saem sem imposto, apresentando o passaporte na hora do pagamento.</t>
  </si>
  <si>
    <t xml:space="preserve">DISNEY</t>
  </si>
  <si>
    <t xml:space="preserve">As bilheterias dos parques estão fechadas: só entra com e-ticket comprado antes, no site ou no app oficial. Datas boas esgotam em horas — coloque o despertador para 07/03/2027, 02h de Brasília.</t>
  </si>
  <si>
    <t xml:space="preserve">MONTE FUJI</t>
  </si>
  <si>
    <t xml:space="preserve">A montanha aparece ou não conforme o tempo. A melhor visibilidade é de novembro a fevereiro; em maio é loteria. Compensa deixar o dia flexível e escolher uma manhã de céu limpo.</t>
  </si>
  <si>
    <t xml:space="preserve">HORÁRIOS</t>
  </si>
  <si>
    <t xml:space="preserve">Templos de Quioto lotam entre 10h e 16h. Amanhecer e fim de tarde mudam completamente a experiência.</t>
  </si>
  <si>
    <t xml:space="preserve">JESTA</t>
  </si>
  <si>
    <t xml:space="preserve">O Japão estuda exigir uma autorização eletrônica prévia (JESTA) para países isentos de visto. Ainda não vale, mas vale checar no site da embaixada uns 3 meses antes de embarcar.</t>
  </si>
  <si>
    <t xml:space="preserve">FONTES CONSULTADAS</t>
  </si>
  <si>
    <t xml:space="preserve">japan-guide.com — roteiros sugeridos pelo Japão  —  https://www.japan-guide.com/e/e2400.html</t>
  </si>
  <si>
    <t xml:space="preserve">japan-guide.com — Fuji Shibazakura Festival  —  https://www.japan-guide.com/e/e6919.html</t>
  </si>
  <si>
    <t xml:space="preserve">JNTO (turismo oficial do Japão) — Rota Dourada  —  https://www.japan.travel/en/gc/itineraries/long-plan/</t>
  </si>
  <si>
    <t xml:space="preserve">Tokyo Disney Resort — compra oficial de ingressos  —  https://www.tokyodisneyresort.jp/en/ticket/purchase.html</t>
  </si>
  <si>
    <t xml:space="preserve">Rakuten Travel — feriados nacionais e Golden Week  —  https://travel.rakuten.com/contents/usa/en-us/guide/japanese-national-holidays-golden-week/</t>
  </si>
  <si>
    <t xml:space="preserve">Panrotas — isenção de visto Brasil-Japão prorrogada até 2029  —  https://www.panrotas.com.br/mercado/destinos/2026/07/brasil-e-japao-prorrogam-isencao-de-vistos-para-turistas-ate-2029_230682.html</t>
  </si>
  <si>
    <t xml:space="preserve">Tokyo Cheapo — bate-volta de Tóquio a Kawaguchiko  —  https://tokyocheapo.com/entertainment/tokyo-to-kawaguchiko-day-trip-guide/</t>
  </si>
  <si>
    <t xml:space="preserve">Wise — histórico da cotação iene / real  —  https://wise.com/us/currency-converter/jpy-to-brl-rate/history</t>
  </si>
  <si>
    <t xml:space="preserve">Pesquisa feita em 15/08/2026. Preços, datas de festival e regras de visto mudam — reconfirme tudo cerca de 3 meses antes de embarcar.</t>
  </si>
  <si>
    <t xml:space="preserve">GASTOS DIA A DIA</t>
  </si>
  <si>
    <t xml:space="preserve">As datas saem da ida e da volta informadas no Painel. Tudo aqui é calculado automaticamente.</t>
  </si>
  <si>
    <t xml:space="preserve">Total do dia (R$)</t>
  </si>
  <si>
    <t xml:space="preserve">Acumulado (R$)</t>
  </si>
  <si>
    <t xml:space="preserve">Demais categorias</t>
  </si>
  <si>
    <t xml:space="preserve">LISTAS DOS MENUS SUSPENSOS</t>
  </si>
  <si>
    <t xml:space="preserve">Edite, acrescente ou renomeie itens aqui — os menus e as tabelas do Painel acompanham sozinhos.</t>
  </si>
  <si>
    <t xml:space="preserve">CATEGORIAS</t>
  </si>
  <si>
    <t xml:space="preserve">FORMAS DE PAGAMENTO</t>
  </si>
  <si>
    <t xml:space="preserve">STATUS DO GASTO</t>
  </si>
  <si>
    <t xml:space="preserve">QUEM PAGOU</t>
  </si>
  <si>
    <t xml:space="preserve">CIDADES / LOCAIS</t>
  </si>
  <si>
    <t xml:space="preserve">STATUS DA RESERVA</t>
  </si>
  <si>
    <t xml:space="preserve">Dinheiro (iene)</t>
  </si>
  <si>
    <t xml:space="preserve">Pago</t>
  </si>
  <si>
    <t xml:space="preserve">Viajante 1</t>
  </si>
  <si>
    <t xml:space="preserve">Hospedagem</t>
  </si>
  <si>
    <t xml:space="preserve">Dinheiro (real)</t>
  </si>
  <si>
    <t xml:space="preserve">Pendente</t>
  </si>
  <si>
    <t xml:space="preserve">Viajante 2</t>
  </si>
  <si>
    <t xml:space="preserve">Pesquisando</t>
  </si>
  <si>
    <t xml:space="preserve">Transporte no Japão (trens/shinkansen)</t>
  </si>
  <si>
    <t xml:space="preserve">Cartão de crédito</t>
  </si>
  <si>
    <t xml:space="preserve">Reservado</t>
  </si>
  <si>
    <t xml:space="preserve">Transporte local (metrô/ônibus/táxi)</t>
  </si>
  <si>
    <t xml:space="preserve">Cartão de débito</t>
  </si>
  <si>
    <t xml:space="preserve">Reembolsado</t>
  </si>
  <si>
    <t xml:space="preserve">Alimentação</t>
  </si>
  <si>
    <t xml:space="preserve">Cartão internacional (Wise/Nomad)</t>
  </si>
  <si>
    <t xml:space="preserve">Kawaguchiko / Monte Fuji</t>
  </si>
  <si>
    <t xml:space="preserve">Passeios e Ingressos</t>
  </si>
  <si>
    <t xml:space="preserve">IC Card (Suica/Pasmo)</t>
  </si>
  <si>
    <t xml:space="preserve">Tokyo Disney Resort</t>
  </si>
  <si>
    <t xml:space="preserve">PIX</t>
  </si>
  <si>
    <t xml:space="preserve">Em trânsito</t>
  </si>
  <si>
    <t xml:space="preserve">Compras e Souvenirs</t>
  </si>
  <si>
    <t xml:space="preserve">Transferência / Boleto</t>
  </si>
  <si>
    <t xml:space="preserve">Seguro Viagem</t>
  </si>
  <si>
    <t xml:space="preserve">Outro</t>
  </si>
  <si>
    <t xml:space="preserve">Chip / Internet</t>
  </si>
  <si>
    <t xml:space="preserve">Documentos (passaporte etc.)</t>
  </si>
  <si>
    <t xml:space="preserve">Bagagem e Equipamentos</t>
  </si>
  <si>
    <t xml:space="preserve">Outros</t>
  </si>
  <si>
    <t xml:space="preserve">Não deixe linha em branco no meio de uma lista: o menu suspenso para na primeira lacuna.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</si>
</sst>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#,##0.0000"/>
    <numFmt numFmtId="167" formatCode="#,##0;\-#,##0;\-"/>
    <numFmt numFmtId="168" formatCode="&quot;R$ &quot;#,##0.00;&quot;-R$ &quot;#,##0.00;\-"/>
    <numFmt numFmtId="169" formatCode="0.0%"/>
    <numFmt numFmtId="170" formatCode="#,##0.00;\-#,##0.00;\-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C9CED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0"/>
      <color rgb="FF1C2541"/>
      <name val="Arial"/>
      <family val="0"/>
      <charset val="1"/>
    </font>
    <font>
      <sz val="8"/>
      <color rgb="FF6B7280"/>
      <name val="Arial"/>
      <family val="0"/>
      <charset val="1"/>
    </font>
    <font>
      <i val="true"/>
      <sz val="9"/>
      <color rgb="FFC1121F"/>
      <name val="Arial"/>
      <family val="0"/>
      <charset val="1"/>
    </font>
    <font>
      <b val="true"/>
      <sz val="8"/>
      <color rgb="FF6B7280"/>
      <name val="Arial"/>
      <family val="0"/>
      <charset val="1"/>
    </font>
    <font>
      <b val="true"/>
      <sz val="15"/>
      <color rgb="FF1C2541"/>
      <name val="Arial"/>
      <family val="0"/>
      <charset val="1"/>
    </font>
    <font>
      <b val="true"/>
      <sz val="15"/>
      <color rgb="FF1B7F5A"/>
      <name val="Arial"/>
      <family val="0"/>
      <charset val="1"/>
    </font>
    <font>
      <b val="true"/>
      <sz val="15"/>
      <color rgb="FFB26B00"/>
      <name val="Arial"/>
      <family val="0"/>
      <charset val="1"/>
    </font>
    <font>
      <b val="true"/>
      <sz val="15"/>
      <color rgb="FF2A5DB0"/>
      <name val="Arial"/>
      <family val="0"/>
      <charset val="1"/>
    </font>
    <font>
      <b val="true"/>
      <sz val="15"/>
      <color rgb="FFC1121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C2541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9"/>
      <color rgb="FFC1121F"/>
      <name val="Arial"/>
      <family val="0"/>
      <charset val="1"/>
    </font>
    <font>
      <i val="true"/>
      <sz val="9"/>
      <color rgb="FFB26B00"/>
      <name val="Arial"/>
      <family val="0"/>
      <charset val="1"/>
    </font>
    <font>
      <sz val="9"/>
      <color rgb="FFC1121F"/>
      <name val="Arial"/>
      <family val="0"/>
      <charset val="1"/>
    </font>
    <font>
      <b val="true"/>
      <sz val="9"/>
      <color rgb="FF1C2541"/>
      <name val="Arial"/>
      <family val="0"/>
      <charset val="1"/>
    </font>
    <font>
      <sz val="9"/>
      <color rgb="FF1C2541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2A5DB0"/>
      <name val="Arial"/>
      <family val="0"/>
      <charset val="1"/>
    </font>
    <font>
      <b val="true"/>
      <sz val="9"/>
      <color rgb="FF1B7F5A"/>
      <name val="Arial"/>
      <family val="0"/>
      <charset val="1"/>
    </font>
    <font>
      <u val="single"/>
      <sz val="8"/>
      <color rgb="FF2A5DB0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C1121F"/>
        <bgColor rgb="FFFF0000"/>
      </patternFill>
    </fill>
    <fill>
      <patternFill patternType="solid">
        <fgColor rgb="FF1C2541"/>
        <bgColor rgb="FF003366"/>
      </patternFill>
    </fill>
    <fill>
      <patternFill patternType="solid">
        <fgColor rgb="FFFFF6D6"/>
        <bgColor rgb="FFFBEBD2"/>
      </patternFill>
    </fill>
    <fill>
      <patternFill patternType="solid">
        <fgColor rgb="FFFAFBFD"/>
        <bgColor rgb="FFFFFFFF"/>
      </patternFill>
    </fill>
    <fill>
      <patternFill patternType="solid">
        <fgColor rgb="FFEEF1F6"/>
        <bgColor rgb="FFECEDF0"/>
      </patternFill>
    </fill>
    <fill>
      <patternFill patternType="solid">
        <fgColor rgb="FFF3F5F9"/>
        <bgColor rgb="FFEEF1F6"/>
      </patternFill>
    </fill>
    <fill>
      <patternFill patternType="solid">
        <fgColor rgb="FFDDF0E5"/>
        <bgColor rgb="FFE1E9F7"/>
      </patternFill>
    </fill>
    <fill>
      <patternFill patternType="solid">
        <fgColor rgb="FFFBEBD2"/>
        <bgColor rgb="FFFBE3E4"/>
      </patternFill>
    </fill>
    <fill>
      <patternFill patternType="solid">
        <fgColor rgb="FFE1E9F7"/>
        <bgColor rgb="FFECEDF0"/>
      </patternFill>
    </fill>
    <fill>
      <patternFill patternType="solid">
        <fgColor rgb="FFFBE3E4"/>
        <bgColor rgb="FFFBEBD2"/>
      </patternFill>
    </fill>
    <fill>
      <patternFill patternType="solid">
        <fgColor rgb="FF3B4A6B"/>
        <bgColor rgb="FF2A5DB0"/>
      </patternFill>
    </fill>
    <fill>
      <patternFill patternType="solid">
        <fgColor rgb="FFFFFFFF"/>
        <bgColor rgb="FFFAFBFD"/>
      </patternFill>
    </fill>
    <fill>
      <patternFill patternType="solid">
        <fgColor rgb="FFB26B00"/>
        <bgColor rgb="FFFF6600"/>
      </patternFill>
    </fill>
    <fill>
      <patternFill patternType="solid">
        <fgColor rgb="FF2A5DB0"/>
        <bgColor rgb="FF3366FF"/>
      </patternFill>
    </fill>
    <fill>
      <patternFill patternType="solid">
        <fgColor rgb="FF1B7F5A"/>
        <bgColor rgb="FF008080"/>
      </patternFill>
    </fill>
    <fill>
      <patternFill patternType="solid">
        <fgColor rgb="FF6B7280"/>
        <bgColor rgb="FF80808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DCE0E8"/>
      </left>
      <right/>
      <top style="thin">
        <color rgb="FFDCE0E8"/>
      </top>
      <bottom/>
      <diagonal/>
    </border>
    <border diagonalUp="false" diagonalDown="false">
      <left/>
      <right style="thin">
        <color rgb="FFDCE0E8"/>
      </right>
      <top style="thin">
        <color rgb="FFDCE0E8"/>
      </top>
      <bottom/>
      <diagonal/>
    </border>
    <border diagonalUp="false" diagonalDown="false">
      <left/>
      <right/>
      <top style="thin">
        <color rgb="FFDCE0E8"/>
      </top>
      <bottom/>
      <diagonal/>
    </border>
    <border diagonalUp="false" diagonalDown="false">
      <left style="thin">
        <color rgb="FFDCE0E8"/>
      </left>
      <right/>
      <top/>
      <bottom/>
      <diagonal/>
    </border>
    <border diagonalUp="false" diagonalDown="false">
      <left/>
      <right style="thin">
        <color rgb="FFDCE0E8"/>
      </right>
      <top/>
      <bottom/>
      <diagonal/>
    </border>
    <border diagonalUp="false" diagonalDown="false">
      <left style="thin">
        <color rgb="FFDCE0E8"/>
      </left>
      <right/>
      <top/>
      <bottom style="thin">
        <color rgb="FFDCE0E8"/>
      </bottom>
      <diagonal/>
    </border>
    <border diagonalUp="false" diagonalDown="false">
      <left/>
      <right/>
      <top/>
      <bottom style="thin">
        <color rgb="FFDCE0E8"/>
      </bottom>
      <diagonal/>
    </border>
    <border diagonalUp="false" diagonalDown="false">
      <left/>
      <right style="thin">
        <color rgb="FFDCE0E8"/>
      </right>
      <top/>
      <bottom style="thin">
        <color rgb="FFDCE0E8"/>
      </bottom>
      <diagonal/>
    </border>
    <border diagonalUp="false" diagonalDown="false">
      <left style="thin">
        <color rgb="FFDCE0E8"/>
      </left>
      <right style="thin">
        <color rgb="FFDCE0E8"/>
      </right>
      <top style="medium">
        <color rgb="FF1C2541"/>
      </top>
      <bottom/>
      <diagonal/>
    </border>
    <border diagonalUp="false" diagonalDown="false">
      <left style="thin">
        <color rgb="FFDCE0E8"/>
      </left>
      <right style="thin">
        <color rgb="FFDCE0E8"/>
      </right>
      <top style="medium">
        <color rgb="FF1B7F5A"/>
      </top>
      <bottom/>
      <diagonal/>
    </border>
    <border diagonalUp="false" diagonalDown="false">
      <left style="thin">
        <color rgb="FFDCE0E8"/>
      </left>
      <right style="thin">
        <color rgb="FFDCE0E8"/>
      </right>
      <top style="medium">
        <color rgb="FFB26B00"/>
      </top>
      <bottom/>
      <diagonal/>
    </border>
    <border diagonalUp="false" diagonalDown="false">
      <left style="thin">
        <color rgb="FFDCE0E8"/>
      </left>
      <right style="thin">
        <color rgb="FFDCE0E8"/>
      </right>
      <top style="medium">
        <color rgb="FF2A5DB0"/>
      </top>
      <bottom/>
      <diagonal/>
    </border>
    <border diagonalUp="false" diagonalDown="false">
      <left style="thin">
        <color rgb="FFDCE0E8"/>
      </left>
      <right style="thin">
        <color rgb="FFDCE0E8"/>
      </right>
      <top/>
      <bottom style="thin">
        <color rgb="FFDCE0E8"/>
      </bottom>
      <diagonal/>
    </border>
    <border diagonalUp="false" diagonalDown="false">
      <left style="thin">
        <color rgb="FFDCE0E8"/>
      </left>
      <right style="thin">
        <color rgb="FFDCE0E8"/>
      </right>
      <top style="medium">
        <color rgb="FFC1121F"/>
      </top>
      <bottom/>
      <diagonal/>
    </border>
    <border diagonalUp="false" diagonalDown="false">
      <left style="thin">
        <color rgb="FFDCE0E8"/>
      </left>
      <right style="thin">
        <color rgb="FFDCE0E8"/>
      </right>
      <top style="thin">
        <color rgb="FFDCE0E8"/>
      </top>
      <bottom/>
      <diagonal/>
    </border>
    <border diagonalUp="false" diagonalDown="false">
      <left style="thin">
        <color rgb="FFDCE0E8"/>
      </left>
      <right style="thin">
        <color rgb="FFDCE0E8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0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1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11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1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1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0" fillId="1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1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13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6" fillId="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0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5" borderId="1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5" borderId="1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11" borderId="1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1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3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0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5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5" borderId="4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7" fillId="5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7" fillId="5" borderId="5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13" borderId="4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7" fillId="13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7" fillId="13" borderId="5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13" borderId="6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7" fillId="13" borderId="7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7" fillId="13" borderId="8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5" borderId="6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7" fillId="5" borderId="7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7" fillId="5" borderId="8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1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5" borderId="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27" fillId="5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30" fillId="13" borderId="4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30" fillId="5" borderId="4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30" fillId="13" borderId="6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6" fillId="1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5" borderId="1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13" borderId="1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5" borderId="1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13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20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1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1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1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5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13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ont>
        <name val="Arial"/>
        <charset val="1"/>
        <family val="0"/>
        <b val="1"/>
        <color rgb="FFC1121F"/>
        <sz val="10"/>
      </font>
    </dxf>
    <dxf>
      <fill>
        <patternFill patternType="solid">
          <fgColor rgb="FF3B4A6B"/>
          <bgColor rgb="FF000000"/>
        </patternFill>
      </fill>
    </dxf>
    <dxf>
      <fill>
        <patternFill patternType="solid">
          <fgColor rgb="FFFAFBFD"/>
          <bgColor rgb="FF000000"/>
        </patternFill>
      </fill>
    </dxf>
    <dxf>
      <fill>
        <patternFill patternType="solid">
          <fgColor rgb="FFFFF6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C2541"/>
          <bgColor rgb="FF000000"/>
        </patternFill>
      </fill>
    </dxf>
    <dxf>
      <fill>
        <patternFill patternType="solid">
          <fgColor rgb="FFE1E9F7"/>
          <bgColor rgb="FF000000"/>
        </patternFill>
      </fill>
    </dxf>
    <dxf>
      <fill>
        <patternFill patternType="solid">
          <fgColor rgb="FF2A5DB0"/>
          <bgColor rgb="FF000000"/>
        </patternFill>
      </fill>
    </dxf>
    <dxf>
      <fill>
        <patternFill patternType="solid">
          <fgColor rgb="FFC1121F"/>
          <bgColor rgb="FF000000"/>
        </patternFill>
      </fill>
    </dxf>
    <dxf>
      <fill>
        <patternFill patternType="solid">
          <fgColor rgb="FFEEF1F6"/>
          <bgColor rgb="FF000000"/>
        </patternFill>
      </fill>
    </dxf>
    <dxf>
      <fill>
        <patternFill patternType="solid">
          <fgColor rgb="FFB26B00"/>
          <bgColor rgb="FF000000"/>
        </patternFill>
      </fill>
    </dxf>
    <dxf>
      <font>
        <name val="Arial"/>
        <charset val="1"/>
        <family val="0"/>
        <b val="1"/>
        <color rgb="FF1B7F5A"/>
        <sz val="10"/>
      </font>
      <fill>
        <patternFill>
          <bgColor rgb="FFDDF0E5"/>
        </patternFill>
      </fill>
    </dxf>
    <dxf>
      <font>
        <name val="Arial"/>
        <charset val="1"/>
        <family val="0"/>
        <b val="1"/>
        <color rgb="FFB26B00"/>
        <sz val="10"/>
      </font>
      <fill>
        <patternFill>
          <bgColor rgb="FFFBEBD2"/>
        </patternFill>
      </fill>
    </dxf>
    <dxf>
      <font>
        <name val="Arial"/>
        <charset val="1"/>
        <family val="0"/>
        <b val="1"/>
        <color rgb="FF2A5DB0"/>
        <sz val="10"/>
      </font>
      <fill>
        <patternFill>
          <bgColor rgb="FFE1E9F7"/>
        </patternFill>
      </fill>
    </dxf>
    <dxf>
      <font>
        <name val="Arial"/>
        <charset val="1"/>
        <family val="0"/>
        <b val="1"/>
        <color rgb="FF6B7280"/>
        <sz val="10"/>
      </font>
      <fill>
        <patternFill>
          <bgColor rgb="FFECEDF0"/>
        </patternFill>
      </fill>
    </dxf>
    <dxf>
      <font>
        <name val="Arial"/>
        <charset val="1"/>
        <family val="0"/>
        <b val="1"/>
        <color rgb="FFC1121F"/>
        <sz val="10"/>
      </font>
      <fill>
        <patternFill>
          <bgColor rgb="FFFBE3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B00"/>
      <rgbColor rgb="FF800080"/>
      <rgbColor rgb="FF1B7F5A"/>
      <rgbColor rgb="FFDCE0E8"/>
      <rgbColor rgb="FF808080"/>
      <rgbColor rgb="FF9999FF"/>
      <rgbColor rgb="FF993366"/>
      <rgbColor rgb="FFFFF6D6"/>
      <rgbColor rgb="FFE1E9F7"/>
      <rgbColor rgb="FF660066"/>
      <rgbColor rgb="FFFF8080"/>
      <rgbColor rgb="FF2A5DB0"/>
      <rgbColor rgb="FFC9CE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6"/>
      <rgbColor rgb="FFDDF0E5"/>
      <rgbColor rgb="FFFBEBD2"/>
      <rgbColor rgb="FFECEDF0"/>
      <rgbColor rgb="FFF3F5F9"/>
      <rgbColor rgb="FFFAFBFD"/>
      <rgbColor rgb="FFFBE3E4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C1121F"/>
      <rgbColor rgb="FF993366"/>
      <rgbColor rgb="FF3B4A6B"/>
      <rgbColor rgb="FF1C25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japan-guide.com/e/e2400.html" TargetMode="External"/><Relationship Id="rId2" Type="http://schemas.openxmlformats.org/officeDocument/2006/relationships/hyperlink" Target="https://www.japan-guide.com/e/e6919.html" TargetMode="External"/><Relationship Id="rId3" Type="http://schemas.openxmlformats.org/officeDocument/2006/relationships/hyperlink" Target="https://www.japan.travel/en/gc/itineraries/long-plan/" TargetMode="External"/><Relationship Id="rId4" Type="http://schemas.openxmlformats.org/officeDocument/2006/relationships/hyperlink" Target="https://www.tokyodisneyresort.jp/en/ticket/purchase.html" TargetMode="External"/><Relationship Id="rId5" Type="http://schemas.openxmlformats.org/officeDocument/2006/relationships/hyperlink" Target="https://travel.rakuten.com/contents/usa/en-us/guide/japanese-national-holidays-golden-week/" TargetMode="External"/><Relationship Id="rId6" Type="http://schemas.openxmlformats.org/officeDocument/2006/relationships/hyperlink" Target="https://www.panrotas.com.br/mercado/destinos/2026/07/brasil-e-japao-prorrogam-isencao-de-vistos-para-turistas-ate-2029_230682.html" TargetMode="External"/><Relationship Id="rId7" Type="http://schemas.openxmlformats.org/officeDocument/2006/relationships/hyperlink" Target="https://tokyocheapo.com/entertainment/tokyo-to-kawaguchiko-day-trip-guide/" TargetMode="External"/><Relationship Id="rId8" Type="http://schemas.openxmlformats.org/officeDocument/2006/relationships/hyperlink" Target="https://wise.com/us/currency-converter/jpy-to-brl-rate/histor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2541"/>
    <pageSetUpPr fitToPage="true"/>
  </sheetPr>
  <dimension ref="B1:I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2"/>
    <col collapsed="false" customWidth="true" hidden="false" outlineLevel="0" max="6" min="3" style="0" width="15"/>
    <col collapsed="false" customWidth="true" hidden="false" outlineLevel="0" max="7" min="7" style="0" width="22"/>
    <col collapsed="false" customWidth="true" hidden="false" outlineLevel="0" max="9" min="8" style="0" width="16"/>
    <col collapsed="false" customWidth="true" hidden="false" outlineLevel="0" max="10" min="10" style="0" width="2.5"/>
  </cols>
  <sheetData>
    <row r="1" customFormat="false" ht="6" hidden="false" customHeight="true" outlineLevel="0" collapsed="false"/>
    <row r="2" customFormat="false" ht="6.75" hidden="false" customHeight="true" outlineLevel="0" collapsed="false">
      <c r="B2" s="1"/>
      <c r="C2" s="1"/>
      <c r="D2" s="1"/>
      <c r="E2" s="1"/>
      <c r="F2" s="1"/>
      <c r="G2" s="1"/>
      <c r="H2" s="1"/>
      <c r="I2" s="1"/>
    </row>
    <row r="3" customFormat="false" ht="36" hidden="false" customHeight="true" outlineLevel="0" collapsed="false">
      <c r="B3" s="2" t="s">
        <v>0</v>
      </c>
      <c r="C3" s="2"/>
      <c r="D3" s="2"/>
      <c r="E3" s="2"/>
      <c r="F3" s="2"/>
      <c r="G3" s="2"/>
      <c r="H3" s="2"/>
      <c r="I3" s="2"/>
    </row>
    <row r="4" customFormat="false" ht="19.5" hidden="false" customHeight="true" outlineLevel="0" collapsed="false">
      <c r="B4" s="3" t="s">
        <v>1</v>
      </c>
      <c r="C4" s="3"/>
      <c r="D4" s="3"/>
      <c r="E4" s="3"/>
      <c r="F4" s="3"/>
      <c r="G4" s="3"/>
      <c r="H4" s="3"/>
      <c r="I4" s="3"/>
    </row>
    <row r="5" customFormat="false" ht="12" hidden="false" customHeight="true" outlineLevel="0" collapsed="false"/>
    <row r="6" customFormat="false" ht="19.5" hidden="false" customHeight="true" outlineLevel="0" collapsed="false">
      <c r="B6" s="4" t="s">
        <v>2</v>
      </c>
      <c r="C6" s="4"/>
      <c r="E6" s="5" t="s">
        <v>3</v>
      </c>
      <c r="F6" s="5"/>
      <c r="G6" s="5"/>
    </row>
    <row r="7" customFormat="false" ht="18.75" hidden="false" customHeight="true" outlineLevel="0" collapsed="false">
      <c r="B7" s="6" t="s">
        <v>4</v>
      </c>
      <c r="C7" s="7" t="n">
        <v>46507</v>
      </c>
      <c r="E7" s="8" t="s">
        <v>5</v>
      </c>
      <c r="F7" s="9" t="s">
        <v>6</v>
      </c>
      <c r="G7" s="10" t="s">
        <v>7</v>
      </c>
    </row>
    <row r="8" customFormat="false" ht="18.75" hidden="false" customHeight="true" outlineLevel="0" collapsed="false">
      <c r="B8" s="11" t="s">
        <v>8</v>
      </c>
      <c r="C8" s="12" t="n">
        <v>46523</v>
      </c>
      <c r="E8" s="13" t="s">
        <v>9</v>
      </c>
      <c r="F8" s="14" t="n">
        <v>0.0325</v>
      </c>
      <c r="G8" s="15" t="s">
        <v>10</v>
      </c>
    </row>
    <row r="9" customFormat="false" ht="18.75" hidden="false" customHeight="true" outlineLevel="0" collapsed="false">
      <c r="B9" s="11" t="s">
        <v>11</v>
      </c>
      <c r="C9" s="16" t="n">
        <v>2</v>
      </c>
      <c r="E9" s="13" t="s">
        <v>12</v>
      </c>
      <c r="F9" s="14" t="n">
        <v>1</v>
      </c>
      <c r="G9" s="15" t="s">
        <v>13</v>
      </c>
    </row>
    <row r="10" customFormat="false" ht="18.75" hidden="false" customHeight="true" outlineLevel="0" collapsed="false">
      <c r="B10" s="11" t="s">
        <v>14</v>
      </c>
      <c r="C10" s="16" t="n">
        <v>3</v>
      </c>
      <c r="E10" s="17" t="s">
        <v>15</v>
      </c>
      <c r="F10" s="18" t="n">
        <v>5.19</v>
      </c>
      <c r="G10" s="19" t="s">
        <v>16</v>
      </c>
    </row>
    <row r="11" customFormat="false" ht="18.75" hidden="false" customHeight="true" outlineLevel="0" collapsed="false">
      <c r="B11" s="11" t="s">
        <v>17</v>
      </c>
      <c r="C11" s="20" t="n">
        <f aca="false">IFERROR($C$8-$C$7+1,"")</f>
        <v>17</v>
      </c>
      <c r="E11" s="21" t="s">
        <v>18</v>
      </c>
      <c r="F11" s="21"/>
      <c r="G11" s="21"/>
    </row>
    <row r="12" customFormat="false" ht="18.75" hidden="false" customHeight="true" outlineLevel="0" collapsed="false">
      <c r="B12" s="22" t="s">
        <v>19</v>
      </c>
      <c r="C12" s="23" t="n">
        <f aca="false">SUM($C$25:$C$37)</f>
        <v>0</v>
      </c>
      <c r="E12" s="21"/>
      <c r="F12" s="21"/>
      <c r="G12" s="21"/>
    </row>
    <row r="13" customFormat="false" ht="12" hidden="false" customHeight="true" outlineLevel="0" collapsed="false"/>
    <row r="14" customFormat="false" ht="19.5" hidden="false" customHeight="true" outlineLevel="0" collapsed="false">
      <c r="B14" s="4" t="s">
        <v>20</v>
      </c>
      <c r="C14" s="4"/>
      <c r="D14" s="4"/>
      <c r="E14" s="4"/>
      <c r="F14" s="4"/>
      <c r="G14" s="4"/>
      <c r="H14" s="4"/>
      <c r="I14" s="4"/>
    </row>
    <row r="16" customFormat="false" ht="19.5" hidden="false" customHeight="true" outlineLevel="0" collapsed="false">
      <c r="B16" s="24" t="s">
        <v>21</v>
      </c>
      <c r="C16" s="24"/>
      <c r="D16" s="25" t="s">
        <v>22</v>
      </c>
      <c r="E16" s="25"/>
      <c r="F16" s="26" t="s">
        <v>23</v>
      </c>
      <c r="G16" s="26"/>
      <c r="H16" s="27" t="s">
        <v>24</v>
      </c>
      <c r="I16" s="27"/>
    </row>
    <row r="17" customFormat="false" ht="30" hidden="false" customHeight="true" outlineLevel="0" collapsed="false">
      <c r="B17" s="28" t="n">
        <f aca="false">SUMIFS(Gastos!$J$7:$J$180,Gastos!$G$7:$G$180,"&lt;&gt;Reembolsado")</f>
        <v>16437.86</v>
      </c>
      <c r="C17" s="28"/>
      <c r="D17" s="29" t="n">
        <f aca="false">SUM(Gastos!$N$7:$N$180)</f>
        <v>0</v>
      </c>
      <c r="E17" s="29"/>
      <c r="F17" s="30" t="n">
        <f aca="false">SUM(Gastos!$O$7:$O$180)</f>
        <v>16437.86</v>
      </c>
      <c r="G17" s="30"/>
      <c r="H17" s="31" t="str">
        <f aca="false">IF($C$12=0,"",$C$12-$B$17)</f>
        <v/>
      </c>
      <c r="I17" s="31"/>
    </row>
    <row r="18" customFormat="false" ht="7.5" hidden="false" customHeight="true" outlineLevel="0" collapsed="false"/>
    <row r="19" customFormat="false" ht="19.5" hidden="false" customHeight="true" outlineLevel="0" collapsed="false">
      <c r="B19" s="24" t="s">
        <v>25</v>
      </c>
      <c r="C19" s="24"/>
      <c r="D19" s="24" t="s">
        <v>26</v>
      </c>
      <c r="E19" s="24"/>
      <c r="F19" s="32" t="s">
        <v>27</v>
      </c>
      <c r="G19" s="32"/>
      <c r="H19" s="32" t="s">
        <v>28</v>
      </c>
      <c r="I19" s="32"/>
    </row>
    <row r="20" customFormat="false" ht="30" hidden="false" customHeight="true" outlineLevel="0" collapsed="false">
      <c r="B20" s="28" t="n">
        <f aca="false">IFERROR($B$17/$C$9,0)</f>
        <v>8218.93</v>
      </c>
      <c r="C20" s="28"/>
      <c r="D20" s="28" t="n">
        <f aca="false">IFERROR($B$17/$C$11,0)</f>
        <v>966.932941176471</v>
      </c>
      <c r="E20" s="28"/>
      <c r="F20" s="33" t="n">
        <f aca="false">SUMIFS(Gastos!$O$7:$O$180,Gastos!$G$7:$G$180,"Parcelado")</f>
        <v>16437.86</v>
      </c>
      <c r="G20" s="33"/>
      <c r="H20" s="34" t="n">
        <f aca="true">IF(SUMIFS(Gastos!$O$7:$O$180,Gastos!$G$7:$G$180,"Parcelado")=0,"",DATE(YEAR(TODAY()),MONTH(TODAY())+IF(DAY(TODAY())&gt;=$C$10,1,0),$C$10))</f>
        <v>46268</v>
      </c>
      <c r="I20" s="34"/>
    </row>
    <row r="21" customFormat="false" ht="13.5" hidden="false" customHeight="true" outlineLevel="0" collapsed="false"/>
    <row r="23" customFormat="false" ht="19.5" hidden="false" customHeight="true" outlineLevel="0" collapsed="false">
      <c r="B23" s="4" t="s">
        <v>29</v>
      </c>
      <c r="C23" s="4"/>
      <c r="D23" s="4"/>
      <c r="E23" s="4"/>
      <c r="F23" s="4"/>
      <c r="G23" s="4"/>
      <c r="H23" s="4"/>
      <c r="I23" s="4"/>
    </row>
    <row r="24" customFormat="false" ht="27.75" hidden="false" customHeight="true" outlineLevel="0" collapsed="false">
      <c r="B24" s="35" t="s">
        <v>30</v>
      </c>
      <c r="C24" s="36" t="s">
        <v>31</v>
      </c>
      <c r="D24" s="36" t="s">
        <v>32</v>
      </c>
      <c r="E24" s="36" t="s">
        <v>33</v>
      </c>
      <c r="F24" s="36" t="s">
        <v>34</v>
      </c>
      <c r="G24" s="36" t="s">
        <v>35</v>
      </c>
      <c r="H24" s="36" t="s">
        <v>36</v>
      </c>
      <c r="I24" s="37" t="s">
        <v>37</v>
      </c>
    </row>
    <row r="25" customFormat="false" ht="18" hidden="false" customHeight="true" outlineLevel="0" collapsed="false">
      <c r="B25" s="38" t="str">
        <f aca="false">IF(Listas!$B$7="","",Listas!$B$7)</f>
        <v>Passagens Aéreas</v>
      </c>
      <c r="C25" s="39"/>
      <c r="D25" s="40" t="n">
        <f aca="false">SUMIFS(Gastos!$J$7:$J$180,Gastos!$B$7:$B$180,$B25,Gastos!$G$7:$G$180,"&lt;&gt;Reembolsado")</f>
        <v>16437.86</v>
      </c>
      <c r="E25" s="40" t="n">
        <f aca="false">SUMIFS(Gastos!$N$7:$N$180,Gastos!$B$7:$B$180,$B25)</f>
        <v>0</v>
      </c>
      <c r="F25" s="40" t="n">
        <f aca="false">SUMIFS(Gastos!$O$7:$O$180,Gastos!$B$7:$B$180,$B25)</f>
        <v>16437.86</v>
      </c>
      <c r="G25" s="41" t="n">
        <f aca="false">IFERROR($D25/$D$38,0)</f>
        <v>1</v>
      </c>
      <c r="H25" s="40" t="str">
        <f aca="false">IF($C25="","",$C25-$D25)</f>
        <v/>
      </c>
      <c r="I25" s="42" t="n">
        <f aca="false">COUNTIFS(Gastos!$B$7:$B$180,$B25)</f>
        <v>1</v>
      </c>
    </row>
    <row r="26" customFormat="false" ht="18" hidden="false" customHeight="true" outlineLevel="0" collapsed="false">
      <c r="B26" s="43" t="str">
        <f aca="false">IF(Listas!$B$8="","",Listas!$B$8)</f>
        <v>Hospedagem</v>
      </c>
      <c r="C26" s="39"/>
      <c r="D26" s="44" t="n">
        <f aca="false">SUMIFS(Gastos!$J$7:$J$180,Gastos!$B$7:$B$180,$B26,Gastos!$G$7:$G$180,"&lt;&gt;Reembolsado")</f>
        <v>0</v>
      </c>
      <c r="E26" s="44" t="n">
        <f aca="false">SUMIFS(Gastos!$N$7:$N$180,Gastos!$B$7:$B$180,$B26)</f>
        <v>0</v>
      </c>
      <c r="F26" s="44" t="n">
        <f aca="false">SUMIFS(Gastos!$O$7:$O$180,Gastos!$B$7:$B$180,$B26)</f>
        <v>0</v>
      </c>
      <c r="G26" s="45" t="n">
        <f aca="false">IFERROR($D26/$D$38,0)</f>
        <v>0</v>
      </c>
      <c r="H26" s="44" t="str">
        <f aca="false">IF($C26="","",$C26-$D26)</f>
        <v/>
      </c>
      <c r="I26" s="46" t="n">
        <f aca="false">COUNTIFS(Gastos!$B$7:$B$180,$B26)</f>
        <v>0</v>
      </c>
    </row>
    <row r="27" customFormat="false" ht="18" hidden="false" customHeight="true" outlineLevel="0" collapsed="false">
      <c r="B27" s="38" t="str">
        <f aca="false">IF(Listas!$B$9="","",Listas!$B$9)</f>
        <v>Transporte no Japão (trens/shinkansen)</v>
      </c>
      <c r="C27" s="39"/>
      <c r="D27" s="40" t="n">
        <f aca="false">SUMIFS(Gastos!$J$7:$J$180,Gastos!$B$7:$B$180,$B27,Gastos!$G$7:$G$180,"&lt;&gt;Reembolsado")</f>
        <v>0</v>
      </c>
      <c r="E27" s="40" t="n">
        <f aca="false">SUMIFS(Gastos!$N$7:$N$180,Gastos!$B$7:$B$180,$B27)</f>
        <v>0</v>
      </c>
      <c r="F27" s="40" t="n">
        <f aca="false">SUMIFS(Gastos!$O$7:$O$180,Gastos!$B$7:$B$180,$B27)</f>
        <v>0</v>
      </c>
      <c r="G27" s="41" t="n">
        <f aca="false">IFERROR($D27/$D$38,0)</f>
        <v>0</v>
      </c>
      <c r="H27" s="40" t="str">
        <f aca="false">IF($C27="","",$C27-$D27)</f>
        <v/>
      </c>
      <c r="I27" s="42" t="n">
        <f aca="false">COUNTIFS(Gastos!$B$7:$B$180,$B27)</f>
        <v>0</v>
      </c>
    </row>
    <row r="28" customFormat="false" ht="18" hidden="false" customHeight="true" outlineLevel="0" collapsed="false">
      <c r="B28" s="43" t="str">
        <f aca="false">IF(Listas!$B$10="","",Listas!$B$10)</f>
        <v>Transporte local (metrô/ônibus/táxi)</v>
      </c>
      <c r="C28" s="39"/>
      <c r="D28" s="44" t="n">
        <f aca="false">SUMIFS(Gastos!$J$7:$J$180,Gastos!$B$7:$B$180,$B28,Gastos!$G$7:$G$180,"&lt;&gt;Reembolsado")</f>
        <v>0</v>
      </c>
      <c r="E28" s="44" t="n">
        <f aca="false">SUMIFS(Gastos!$N$7:$N$180,Gastos!$B$7:$B$180,$B28)</f>
        <v>0</v>
      </c>
      <c r="F28" s="44" t="n">
        <f aca="false">SUMIFS(Gastos!$O$7:$O$180,Gastos!$B$7:$B$180,$B28)</f>
        <v>0</v>
      </c>
      <c r="G28" s="45" t="n">
        <f aca="false">IFERROR($D28/$D$38,0)</f>
        <v>0</v>
      </c>
      <c r="H28" s="44" t="str">
        <f aca="false">IF($C28="","",$C28-$D28)</f>
        <v/>
      </c>
      <c r="I28" s="46" t="n">
        <f aca="false">COUNTIFS(Gastos!$B$7:$B$180,$B28)</f>
        <v>0</v>
      </c>
    </row>
    <row r="29" customFormat="false" ht="18" hidden="false" customHeight="true" outlineLevel="0" collapsed="false">
      <c r="B29" s="38" t="str">
        <f aca="false">IF(Listas!$B$11="","",Listas!$B$11)</f>
        <v>Alimentação</v>
      </c>
      <c r="C29" s="39"/>
      <c r="D29" s="40" t="n">
        <f aca="false">SUMIFS(Gastos!$J$7:$J$180,Gastos!$B$7:$B$180,$B29,Gastos!$G$7:$G$180,"&lt;&gt;Reembolsado")</f>
        <v>0</v>
      </c>
      <c r="E29" s="40" t="n">
        <f aca="false">SUMIFS(Gastos!$N$7:$N$180,Gastos!$B$7:$B$180,$B29)</f>
        <v>0</v>
      </c>
      <c r="F29" s="40" t="n">
        <f aca="false">SUMIFS(Gastos!$O$7:$O$180,Gastos!$B$7:$B$180,$B29)</f>
        <v>0</v>
      </c>
      <c r="G29" s="41" t="n">
        <f aca="false">IFERROR($D29/$D$38,0)</f>
        <v>0</v>
      </c>
      <c r="H29" s="40" t="str">
        <f aca="false">IF($C29="","",$C29-$D29)</f>
        <v/>
      </c>
      <c r="I29" s="42" t="n">
        <f aca="false">COUNTIFS(Gastos!$B$7:$B$180,$B29)</f>
        <v>0</v>
      </c>
    </row>
    <row r="30" customFormat="false" ht="18" hidden="false" customHeight="true" outlineLevel="0" collapsed="false">
      <c r="B30" s="43" t="str">
        <f aca="false">IF(Listas!$B$12="","",Listas!$B$12)</f>
        <v>Passeios e Ingressos</v>
      </c>
      <c r="C30" s="39"/>
      <c r="D30" s="44" t="n">
        <f aca="false">SUMIFS(Gastos!$J$7:$J$180,Gastos!$B$7:$B$180,$B30,Gastos!$G$7:$G$180,"&lt;&gt;Reembolsado")</f>
        <v>0</v>
      </c>
      <c r="E30" s="44" t="n">
        <f aca="false">SUMIFS(Gastos!$N$7:$N$180,Gastos!$B$7:$B$180,$B30)</f>
        <v>0</v>
      </c>
      <c r="F30" s="44" t="n">
        <f aca="false">SUMIFS(Gastos!$O$7:$O$180,Gastos!$B$7:$B$180,$B30)</f>
        <v>0</v>
      </c>
      <c r="G30" s="45" t="n">
        <f aca="false">IFERROR($D30/$D$38,0)</f>
        <v>0</v>
      </c>
      <c r="H30" s="44" t="str">
        <f aca="false">IF($C30="","",$C30-$D30)</f>
        <v/>
      </c>
      <c r="I30" s="46" t="n">
        <f aca="false">COUNTIFS(Gastos!$B$7:$B$180,$B30)</f>
        <v>0</v>
      </c>
    </row>
    <row r="31" customFormat="false" ht="18" hidden="false" customHeight="true" outlineLevel="0" collapsed="false">
      <c r="B31" s="38" t="str">
        <f aca="false">IF(Listas!$B$13="","",Listas!$B$13)</f>
        <v>Tokyo Disney</v>
      </c>
      <c r="C31" s="39"/>
      <c r="D31" s="40" t="n">
        <f aca="false">SUMIFS(Gastos!$J$7:$J$180,Gastos!$B$7:$B$180,$B31,Gastos!$G$7:$G$180,"&lt;&gt;Reembolsado")</f>
        <v>0</v>
      </c>
      <c r="E31" s="40" t="n">
        <f aca="false">SUMIFS(Gastos!$N$7:$N$180,Gastos!$B$7:$B$180,$B31)</f>
        <v>0</v>
      </c>
      <c r="F31" s="40" t="n">
        <f aca="false">SUMIFS(Gastos!$O$7:$O$180,Gastos!$B$7:$B$180,$B31)</f>
        <v>0</v>
      </c>
      <c r="G31" s="41" t="n">
        <f aca="false">IFERROR($D31/$D$38,0)</f>
        <v>0</v>
      </c>
      <c r="H31" s="40" t="str">
        <f aca="false">IF($C31="","",$C31-$D31)</f>
        <v/>
      </c>
      <c r="I31" s="42" t="n">
        <f aca="false">COUNTIFS(Gastos!$B$7:$B$180,$B31)</f>
        <v>0</v>
      </c>
    </row>
    <row r="32" customFormat="false" ht="18" hidden="false" customHeight="true" outlineLevel="0" collapsed="false">
      <c r="B32" s="43" t="str">
        <f aca="false">IF(Listas!$B$14="","",Listas!$B$14)</f>
        <v>Compras e Souvenirs</v>
      </c>
      <c r="C32" s="39"/>
      <c r="D32" s="44" t="n">
        <f aca="false">SUMIFS(Gastos!$J$7:$J$180,Gastos!$B$7:$B$180,$B32,Gastos!$G$7:$G$180,"&lt;&gt;Reembolsado")</f>
        <v>0</v>
      </c>
      <c r="E32" s="44" t="n">
        <f aca="false">SUMIFS(Gastos!$N$7:$N$180,Gastos!$B$7:$B$180,$B32)</f>
        <v>0</v>
      </c>
      <c r="F32" s="44" t="n">
        <f aca="false">SUMIFS(Gastos!$O$7:$O$180,Gastos!$B$7:$B$180,$B32)</f>
        <v>0</v>
      </c>
      <c r="G32" s="45" t="n">
        <f aca="false">IFERROR($D32/$D$38,0)</f>
        <v>0</v>
      </c>
      <c r="H32" s="44" t="str">
        <f aca="false">IF($C32="","",$C32-$D32)</f>
        <v/>
      </c>
      <c r="I32" s="46" t="n">
        <f aca="false">COUNTIFS(Gastos!$B$7:$B$180,$B32)</f>
        <v>0</v>
      </c>
    </row>
    <row r="33" customFormat="false" ht="18" hidden="false" customHeight="true" outlineLevel="0" collapsed="false">
      <c r="B33" s="38" t="str">
        <f aca="false">IF(Listas!$B$15="","",Listas!$B$15)</f>
        <v>Seguro Viagem</v>
      </c>
      <c r="C33" s="39"/>
      <c r="D33" s="40" t="n">
        <f aca="false">SUMIFS(Gastos!$J$7:$J$180,Gastos!$B$7:$B$180,$B33,Gastos!$G$7:$G$180,"&lt;&gt;Reembolsado")</f>
        <v>0</v>
      </c>
      <c r="E33" s="40" t="n">
        <f aca="false">SUMIFS(Gastos!$N$7:$N$180,Gastos!$B$7:$B$180,$B33)</f>
        <v>0</v>
      </c>
      <c r="F33" s="40" t="n">
        <f aca="false">SUMIFS(Gastos!$O$7:$O$180,Gastos!$B$7:$B$180,$B33)</f>
        <v>0</v>
      </c>
      <c r="G33" s="41" t="n">
        <f aca="false">IFERROR($D33/$D$38,0)</f>
        <v>0</v>
      </c>
      <c r="H33" s="40" t="str">
        <f aca="false">IF($C33="","",$C33-$D33)</f>
        <v/>
      </c>
      <c r="I33" s="42" t="n">
        <f aca="false">COUNTIFS(Gastos!$B$7:$B$180,$B33)</f>
        <v>0</v>
      </c>
    </row>
    <row r="34" customFormat="false" ht="18" hidden="false" customHeight="true" outlineLevel="0" collapsed="false">
      <c r="B34" s="43" t="str">
        <f aca="false">IF(Listas!$B$16="","",Listas!$B$16)</f>
        <v>Chip / Internet</v>
      </c>
      <c r="C34" s="39"/>
      <c r="D34" s="44" t="n">
        <f aca="false">SUMIFS(Gastos!$J$7:$J$180,Gastos!$B$7:$B$180,$B34,Gastos!$G$7:$G$180,"&lt;&gt;Reembolsado")</f>
        <v>0</v>
      </c>
      <c r="E34" s="44" t="n">
        <f aca="false">SUMIFS(Gastos!$N$7:$N$180,Gastos!$B$7:$B$180,$B34)</f>
        <v>0</v>
      </c>
      <c r="F34" s="44" t="n">
        <f aca="false">SUMIFS(Gastos!$O$7:$O$180,Gastos!$B$7:$B$180,$B34)</f>
        <v>0</v>
      </c>
      <c r="G34" s="45" t="n">
        <f aca="false">IFERROR($D34/$D$38,0)</f>
        <v>0</v>
      </c>
      <c r="H34" s="44" t="str">
        <f aca="false">IF($C34="","",$C34-$D34)</f>
        <v/>
      </c>
      <c r="I34" s="46" t="n">
        <f aca="false">COUNTIFS(Gastos!$B$7:$B$180,$B34)</f>
        <v>0</v>
      </c>
    </row>
    <row r="35" customFormat="false" ht="18" hidden="false" customHeight="true" outlineLevel="0" collapsed="false">
      <c r="B35" s="38" t="str">
        <f aca="false">IF(Listas!$B$17="","",Listas!$B$17)</f>
        <v>Documentos (passaporte etc.)</v>
      </c>
      <c r="C35" s="39"/>
      <c r="D35" s="40" t="n">
        <f aca="false">SUMIFS(Gastos!$J$7:$J$180,Gastos!$B$7:$B$180,$B35,Gastos!$G$7:$G$180,"&lt;&gt;Reembolsado")</f>
        <v>0</v>
      </c>
      <c r="E35" s="40" t="n">
        <f aca="false">SUMIFS(Gastos!$N$7:$N$180,Gastos!$B$7:$B$180,$B35)</f>
        <v>0</v>
      </c>
      <c r="F35" s="40" t="n">
        <f aca="false">SUMIFS(Gastos!$O$7:$O$180,Gastos!$B$7:$B$180,$B35)</f>
        <v>0</v>
      </c>
      <c r="G35" s="41" t="n">
        <f aca="false">IFERROR($D35/$D$38,0)</f>
        <v>0</v>
      </c>
      <c r="H35" s="40" t="str">
        <f aca="false">IF($C35="","",$C35-$D35)</f>
        <v/>
      </c>
      <c r="I35" s="42" t="n">
        <f aca="false">COUNTIFS(Gastos!$B$7:$B$180,$B35)</f>
        <v>0</v>
      </c>
    </row>
    <row r="36" customFormat="false" ht="18" hidden="false" customHeight="true" outlineLevel="0" collapsed="false">
      <c r="B36" s="43" t="str">
        <f aca="false">IF(Listas!$B$18="","",Listas!$B$18)</f>
        <v>Bagagem e Equipamentos</v>
      </c>
      <c r="C36" s="39"/>
      <c r="D36" s="44" t="n">
        <f aca="false">SUMIFS(Gastos!$J$7:$J$180,Gastos!$B$7:$B$180,$B36,Gastos!$G$7:$G$180,"&lt;&gt;Reembolsado")</f>
        <v>0</v>
      </c>
      <c r="E36" s="44" t="n">
        <f aca="false">SUMIFS(Gastos!$N$7:$N$180,Gastos!$B$7:$B$180,$B36)</f>
        <v>0</v>
      </c>
      <c r="F36" s="44" t="n">
        <f aca="false">SUMIFS(Gastos!$O$7:$O$180,Gastos!$B$7:$B$180,$B36)</f>
        <v>0</v>
      </c>
      <c r="G36" s="45" t="n">
        <f aca="false">IFERROR($D36/$D$38,0)</f>
        <v>0</v>
      </c>
      <c r="H36" s="44" t="str">
        <f aca="false">IF($C36="","",$C36-$D36)</f>
        <v/>
      </c>
      <c r="I36" s="46" t="n">
        <f aca="false">COUNTIFS(Gastos!$B$7:$B$180,$B36)</f>
        <v>0</v>
      </c>
    </row>
    <row r="37" customFormat="false" ht="18" hidden="false" customHeight="true" outlineLevel="0" collapsed="false">
      <c r="B37" s="38" t="str">
        <f aca="false">IF(Listas!$B$19="","",Listas!$B$19)</f>
        <v>Outros</v>
      </c>
      <c r="C37" s="39"/>
      <c r="D37" s="40" t="n">
        <f aca="false">SUMIFS(Gastos!$J$7:$J$180,Gastos!$B$7:$B$180,$B37,Gastos!$G$7:$G$180,"&lt;&gt;Reembolsado")</f>
        <v>0</v>
      </c>
      <c r="E37" s="40" t="n">
        <f aca="false">SUMIFS(Gastos!$N$7:$N$180,Gastos!$B$7:$B$180,$B37)</f>
        <v>0</v>
      </c>
      <c r="F37" s="40" t="n">
        <f aca="false">SUMIFS(Gastos!$O$7:$O$180,Gastos!$B$7:$B$180,$B37)</f>
        <v>0</v>
      </c>
      <c r="G37" s="41" t="n">
        <f aca="false">IFERROR($D37/$D$38,0)</f>
        <v>0</v>
      </c>
      <c r="H37" s="40" t="str">
        <f aca="false">IF($C37="","",$C37-$D37)</f>
        <v/>
      </c>
      <c r="I37" s="42" t="n">
        <f aca="false">COUNTIFS(Gastos!$B$7:$B$180,$B37)</f>
        <v>0</v>
      </c>
    </row>
    <row r="38" customFormat="false" ht="21.75" hidden="false" customHeight="true" outlineLevel="0" collapsed="false">
      <c r="B38" s="47" t="s">
        <v>38</v>
      </c>
      <c r="C38" s="48" t="n">
        <f aca="false">SUM(C25:C37)</f>
        <v>0</v>
      </c>
      <c r="D38" s="48" t="n">
        <f aca="false">SUM(D25:D37)</f>
        <v>16437.86</v>
      </c>
      <c r="E38" s="48" t="n">
        <f aca="false">SUM(E25:E37)</f>
        <v>0</v>
      </c>
      <c r="F38" s="48" t="n">
        <f aca="false">SUM(F25:F37)</f>
        <v>16437.86</v>
      </c>
      <c r="G38" s="49" t="n">
        <f aca="false">SUM(G25:G37)</f>
        <v>1</v>
      </c>
      <c r="H38" s="48" t="n">
        <f aca="false">SUM(H25:H37)</f>
        <v>0</v>
      </c>
      <c r="I38" s="50" t="n">
        <f aca="false">SUM(I25:I37)</f>
        <v>1</v>
      </c>
    </row>
    <row r="39" customFormat="false" ht="12" hidden="false" customHeight="true" outlineLevel="0" collapsed="false"/>
    <row r="40" customFormat="false" ht="19.5" hidden="false" customHeight="true" outlineLevel="0" collapsed="false">
      <c r="B40" s="51" t="s">
        <v>39</v>
      </c>
      <c r="C40" s="51"/>
      <c r="D40" s="51"/>
      <c r="E40" s="51"/>
      <c r="G40" s="51" t="s">
        <v>40</v>
      </c>
      <c r="H40" s="51"/>
      <c r="I40" s="51"/>
    </row>
    <row r="41" customFormat="false" ht="24" hidden="false" customHeight="true" outlineLevel="0" collapsed="false">
      <c r="B41" s="52" t="s">
        <v>41</v>
      </c>
      <c r="C41" s="53" t="s">
        <v>42</v>
      </c>
      <c r="D41" s="53" t="s">
        <v>33</v>
      </c>
      <c r="E41" s="54" t="s">
        <v>34</v>
      </c>
      <c r="G41" s="52" t="s">
        <v>43</v>
      </c>
      <c r="H41" s="53" t="s">
        <v>42</v>
      </c>
      <c r="I41" s="54" t="s">
        <v>34</v>
      </c>
    </row>
    <row r="42" customFormat="false" ht="18" hidden="false" customHeight="true" outlineLevel="0" collapsed="false">
      <c r="B42" s="55" t="str">
        <f aca="false">IF(Listas!$D$7="","",Listas!$D$7)</f>
        <v>Dinheiro (iene)</v>
      </c>
      <c r="C42" s="56" t="n">
        <f aca="false">SUMIFS(Gastos!$J$7:$J$180,Gastos!$F$7:$F$180,$B42)</f>
        <v>0</v>
      </c>
      <c r="D42" s="56" t="n">
        <f aca="false">SUMIFS(Gastos!$N$7:$N$180,Gastos!$F$7:$F$180,$B42)</f>
        <v>0</v>
      </c>
      <c r="E42" s="57" t="n">
        <f aca="false">SUMIFS(Gastos!$O$7:$O$180,Gastos!$F$7:$F$180,$B42)</f>
        <v>0</v>
      </c>
      <c r="G42" s="55" t="str">
        <f aca="false">IF(Listas!$H$7="","",Listas!$H$7)</f>
        <v>Viajante 1</v>
      </c>
      <c r="H42" s="56" t="n">
        <f aca="false">SUMIFS(Gastos!$J$7:$J$180,Gastos!$E$7:$E$180,$G42)</f>
        <v>0</v>
      </c>
      <c r="I42" s="57" t="n">
        <f aca="false">SUMIFS(Gastos!$O$7:$O$180,Gastos!$E$7:$E$180,$G42)</f>
        <v>0</v>
      </c>
    </row>
    <row r="43" customFormat="false" ht="18" hidden="false" customHeight="true" outlineLevel="0" collapsed="false">
      <c r="B43" s="55" t="str">
        <f aca="false">IF(Listas!$D$8="","",Listas!$D$8)</f>
        <v>Dinheiro (real)</v>
      </c>
      <c r="C43" s="56" t="n">
        <f aca="false">SUMIFS(Gastos!$J$7:$J$180,Gastos!$F$7:$F$180,$B43)</f>
        <v>0</v>
      </c>
      <c r="D43" s="56" t="n">
        <f aca="false">SUMIFS(Gastos!$N$7:$N$180,Gastos!$F$7:$F$180,$B43)</f>
        <v>0</v>
      </c>
      <c r="E43" s="57" t="n">
        <f aca="false">SUMIFS(Gastos!$O$7:$O$180,Gastos!$F$7:$F$180,$B43)</f>
        <v>0</v>
      </c>
      <c r="G43" s="55" t="str">
        <f aca="false">IF(Listas!$H$8="","",Listas!$H$8)</f>
        <v>Viajante 2</v>
      </c>
      <c r="H43" s="56" t="n">
        <f aca="false">SUMIFS(Gastos!$J$7:$J$180,Gastos!$E$7:$E$180,$G43)</f>
        <v>0</v>
      </c>
      <c r="I43" s="57" t="n">
        <f aca="false">SUMIFS(Gastos!$O$7:$O$180,Gastos!$E$7:$E$180,$G43)</f>
        <v>0</v>
      </c>
    </row>
    <row r="44" customFormat="false" ht="18" hidden="false" customHeight="true" outlineLevel="0" collapsed="false">
      <c r="B44" s="55" t="str">
        <f aca="false">IF(Listas!$D$9="","",Listas!$D$9)</f>
        <v>Cartão de crédito</v>
      </c>
      <c r="C44" s="56" t="n">
        <f aca="false">SUMIFS(Gastos!$J$7:$J$180,Gastos!$F$7:$F$180,$B44)</f>
        <v>0</v>
      </c>
      <c r="D44" s="56" t="n">
        <f aca="false">SUMIFS(Gastos!$N$7:$N$180,Gastos!$F$7:$F$180,$B44)</f>
        <v>0</v>
      </c>
      <c r="E44" s="57" t="n">
        <f aca="false">SUMIFS(Gastos!$O$7:$O$180,Gastos!$F$7:$F$180,$B44)</f>
        <v>0</v>
      </c>
      <c r="G44" s="58" t="str">
        <f aca="false">IF(Listas!$H$9="","",Listas!$H$9)</f>
        <v>Dividido</v>
      </c>
      <c r="H44" s="59" t="n">
        <f aca="false">SUMIFS(Gastos!$J$7:$J$180,Gastos!$E$7:$E$180,$G44)</f>
        <v>16437.86</v>
      </c>
      <c r="I44" s="60" t="n">
        <f aca="false">SUMIFS(Gastos!$O$7:$O$180,Gastos!$E$7:$E$180,$G44)</f>
        <v>16437.86</v>
      </c>
    </row>
    <row r="45" customFormat="false" ht="18" hidden="false" customHeight="true" outlineLevel="0" collapsed="false">
      <c r="B45" s="55" t="str">
        <f aca="false">IF(Listas!$D$10="","",Listas!$D$10)</f>
        <v>Cartão de débito</v>
      </c>
      <c r="C45" s="56" t="n">
        <f aca="false">SUMIFS(Gastos!$J$7:$J$180,Gastos!$F$7:$F$180,$B45)</f>
        <v>0</v>
      </c>
      <c r="D45" s="56" t="n">
        <f aca="false">SUMIFS(Gastos!$N$7:$N$180,Gastos!$F$7:$F$180,$B45)</f>
        <v>0</v>
      </c>
      <c r="E45" s="57" t="n">
        <f aca="false">SUMIFS(Gastos!$O$7:$O$180,Gastos!$F$7:$F$180,$B45)</f>
        <v>0</v>
      </c>
    </row>
    <row r="46" customFormat="false" ht="18" hidden="false" customHeight="true" outlineLevel="0" collapsed="false">
      <c r="B46" s="55" t="str">
        <f aca="false">IF(Listas!$D$11="","",Listas!$D$11)</f>
        <v>Cartão internacional (Wise/Nomad)</v>
      </c>
      <c r="C46" s="56" t="n">
        <f aca="false">SUMIFS(Gastos!$J$7:$J$180,Gastos!$F$7:$F$180,$B46)</f>
        <v>0</v>
      </c>
      <c r="D46" s="56" t="n">
        <f aca="false">SUMIFS(Gastos!$N$7:$N$180,Gastos!$F$7:$F$180,$B46)</f>
        <v>0</v>
      </c>
      <c r="E46" s="57" t="n">
        <f aca="false">SUMIFS(Gastos!$O$7:$O$180,Gastos!$F$7:$F$180,$B46)</f>
        <v>0</v>
      </c>
    </row>
    <row r="47" customFormat="false" ht="18" hidden="false" customHeight="true" outlineLevel="0" collapsed="false">
      <c r="B47" s="55" t="str">
        <f aca="false">IF(Listas!$D$12="","",Listas!$D$12)</f>
        <v>IC Card (Suica/Pasmo)</v>
      </c>
      <c r="C47" s="56" t="n">
        <f aca="false">SUMIFS(Gastos!$J$7:$J$180,Gastos!$F$7:$F$180,$B47)</f>
        <v>0</v>
      </c>
      <c r="D47" s="56" t="n">
        <f aca="false">SUMIFS(Gastos!$N$7:$N$180,Gastos!$F$7:$F$180,$B47)</f>
        <v>0</v>
      </c>
      <c r="E47" s="57" t="n">
        <f aca="false">SUMIFS(Gastos!$O$7:$O$180,Gastos!$F$7:$F$180,$B47)</f>
        <v>0</v>
      </c>
    </row>
    <row r="48" customFormat="false" ht="18" hidden="false" customHeight="true" outlineLevel="0" collapsed="false">
      <c r="B48" s="55" t="str">
        <f aca="false">IF(Listas!$D$13="","",Listas!$D$13)</f>
        <v>PIX</v>
      </c>
      <c r="C48" s="56" t="n">
        <f aca="false">SUMIFS(Gastos!$J$7:$J$180,Gastos!$F$7:$F$180,$B48)</f>
        <v>0</v>
      </c>
      <c r="D48" s="56" t="n">
        <f aca="false">SUMIFS(Gastos!$N$7:$N$180,Gastos!$F$7:$F$180,$B48)</f>
        <v>0</v>
      </c>
      <c r="E48" s="57" t="n">
        <f aca="false">SUMIFS(Gastos!$O$7:$O$180,Gastos!$F$7:$F$180,$B48)</f>
        <v>0</v>
      </c>
    </row>
    <row r="49" customFormat="false" ht="18" hidden="false" customHeight="true" outlineLevel="0" collapsed="false">
      <c r="B49" s="58" t="str">
        <f aca="false">IF(Listas!$D$14="","",Listas!$D$14)</f>
        <v>Transferência / Boleto</v>
      </c>
      <c r="C49" s="59" t="n">
        <f aca="false">SUMIFS(Gastos!$J$7:$J$180,Gastos!$F$7:$F$180,$B49)</f>
        <v>0</v>
      </c>
      <c r="D49" s="59" t="n">
        <f aca="false">SUMIFS(Gastos!$N$7:$N$180,Gastos!$F$7:$F$180,$B49)</f>
        <v>0</v>
      </c>
      <c r="E49" s="60" t="n">
        <f aca="false">SUMIFS(Gastos!$O$7:$O$180,Gastos!$F$7:$F$180,$B49)</f>
        <v>0</v>
      </c>
    </row>
    <row r="51" customFormat="false" ht="19.5" hidden="false" customHeight="true" outlineLevel="0" collapsed="false">
      <c r="B51" s="5" t="s">
        <v>44</v>
      </c>
      <c r="C51" s="5"/>
      <c r="D51" s="5"/>
      <c r="E51" s="5"/>
      <c r="F51" s="5"/>
      <c r="G51" s="5"/>
      <c r="H51" s="5"/>
      <c r="I51" s="5"/>
    </row>
    <row r="52" customFormat="false" ht="16.5" hidden="false" customHeight="true" outlineLevel="0" collapsed="false">
      <c r="B52" s="61" t="s">
        <v>45</v>
      </c>
      <c r="C52" s="61"/>
      <c r="D52" s="61"/>
      <c r="E52" s="61"/>
      <c r="F52" s="61"/>
      <c r="G52" s="61"/>
      <c r="H52" s="61"/>
      <c r="I52" s="61"/>
    </row>
    <row r="53" customFormat="false" ht="25.5" hidden="false" customHeight="true" outlineLevel="0" collapsed="false">
      <c r="B53" s="62" t="s">
        <v>46</v>
      </c>
      <c r="C53" s="62"/>
      <c r="D53" s="62"/>
      <c r="E53" s="62"/>
      <c r="F53" s="62"/>
      <c r="G53" s="62"/>
      <c r="H53" s="62"/>
      <c r="I53" s="62"/>
    </row>
    <row r="54" customFormat="false" ht="16.5" hidden="false" customHeight="true" outlineLevel="0" collapsed="false">
      <c r="B54" s="62" t="s">
        <v>47</v>
      </c>
      <c r="C54" s="62"/>
      <c r="D54" s="62"/>
      <c r="E54" s="62"/>
      <c r="F54" s="62"/>
      <c r="G54" s="62"/>
      <c r="H54" s="62"/>
      <c r="I54" s="62"/>
    </row>
    <row r="55" customFormat="false" ht="16.5" hidden="false" customHeight="true" outlineLevel="0" collapsed="false">
      <c r="B55" s="62" t="s">
        <v>48</v>
      </c>
      <c r="C55" s="62"/>
      <c r="D55" s="62"/>
      <c r="E55" s="62"/>
      <c r="F55" s="62"/>
      <c r="G55" s="62"/>
      <c r="H55" s="62"/>
      <c r="I55" s="62"/>
    </row>
    <row r="56" customFormat="false" ht="16.5" hidden="false" customHeight="true" outlineLevel="0" collapsed="false">
      <c r="B56" s="62" t="s">
        <v>49</v>
      </c>
      <c r="C56" s="62"/>
      <c r="D56" s="62"/>
      <c r="E56" s="62"/>
      <c r="F56" s="62"/>
      <c r="G56" s="62"/>
      <c r="H56" s="62"/>
      <c r="I56" s="62"/>
    </row>
    <row r="57" customFormat="false" ht="25.5" hidden="false" customHeight="true" outlineLevel="0" collapsed="false">
      <c r="B57" s="62" t="s">
        <v>50</v>
      </c>
      <c r="C57" s="62"/>
      <c r="D57" s="62"/>
      <c r="E57" s="62"/>
      <c r="F57" s="62"/>
      <c r="G57" s="62"/>
      <c r="H57" s="62"/>
      <c r="I57" s="62"/>
    </row>
    <row r="58" customFormat="false" ht="25.5" hidden="false" customHeight="true" outlineLevel="0" collapsed="false">
      <c r="B58" s="63" t="s">
        <v>51</v>
      </c>
      <c r="C58" s="63"/>
      <c r="D58" s="63"/>
      <c r="E58" s="63"/>
      <c r="F58" s="63"/>
      <c r="G58" s="63"/>
      <c r="H58" s="63"/>
      <c r="I58" s="63"/>
    </row>
    <row r="59" customFormat="false" ht="16.5" hidden="false" customHeight="true" outlineLevel="0" collapsed="false">
      <c r="B59" s="64" t="s">
        <v>52</v>
      </c>
      <c r="C59" s="64"/>
      <c r="D59" s="64"/>
      <c r="E59" s="64"/>
      <c r="F59" s="64"/>
      <c r="G59" s="64"/>
      <c r="H59" s="64"/>
      <c r="I59" s="64"/>
    </row>
  </sheetData>
  <mergeCells count="34">
    <mergeCell ref="B3:I3"/>
    <mergeCell ref="B4:I4"/>
    <mergeCell ref="B6:C6"/>
    <mergeCell ref="E6:G6"/>
    <mergeCell ref="E11:G12"/>
    <mergeCell ref="B14:I14"/>
    <mergeCell ref="B16:C16"/>
    <mergeCell ref="D16:E16"/>
    <mergeCell ref="F16:G16"/>
    <mergeCell ref="H16:I16"/>
    <mergeCell ref="B17:C17"/>
    <mergeCell ref="D17:E17"/>
    <mergeCell ref="F17:G17"/>
    <mergeCell ref="H17:I17"/>
    <mergeCell ref="B19:C19"/>
    <mergeCell ref="D19:E19"/>
    <mergeCell ref="F19:G19"/>
    <mergeCell ref="H19:I19"/>
    <mergeCell ref="B20:C20"/>
    <mergeCell ref="D20:E20"/>
    <mergeCell ref="F20:G20"/>
    <mergeCell ref="H20:I20"/>
    <mergeCell ref="B23:I23"/>
    <mergeCell ref="B40:E40"/>
    <mergeCell ref="G40:I40"/>
    <mergeCell ref="B51:I51"/>
    <mergeCell ref="B52:I52"/>
    <mergeCell ref="B53:I53"/>
    <mergeCell ref="B54:I54"/>
    <mergeCell ref="B55:I55"/>
    <mergeCell ref="B56:I56"/>
    <mergeCell ref="B57:I57"/>
    <mergeCell ref="B58:I58"/>
    <mergeCell ref="B59:I59"/>
  </mergeCells>
  <conditionalFormatting sqref="D25:D37">
    <cfRule type="dataBar" priority="2">
      <dataBar showValue="1" minLength="10" maxLength="90">
        <cfvo type="num" val="0"/>
        <cfvo type="max" val="0"/>
        <color rgb="FFC1121F"/>
      </dataBar>
      <extLst>
        <ext xmlns:x14="http://schemas.microsoft.com/office/spreadsheetml/2009/9/main" uri="{B025F937-C7B1-47D3-B67F-A62EFF666E3E}">
          <x14:id>{F0755633-9555-4B3E-B13B-531774C13CC0}</x14:id>
        </ext>
      </extLst>
    </cfRule>
  </conditionalFormatting>
  <conditionalFormatting sqref="H25:H37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755633-9555-4B3E-B13B-531774C13CC0}">
            <x14:dataBar minLength="10" maxLength="90" axisPosition="none" gradient="true">
              <x14:cfvo type="num">
                <xm:f>0</xm:f>
              </x14:cfvo>
              <x14:cfvo type="max"/>
              <x14:negativeFillColor rgb="FFC1121F"/>
              <x14:axisColor rgb="FF000000"/>
            </x14:dataBar>
          </x14:cfRule>
          <xm:sqref>D25:D37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1121F"/>
    <pageSetUpPr fitToPage="true"/>
  </sheetPr>
  <dimension ref="A1:P1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3" min="12" style="0" width="12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38"/>
  </cols>
  <sheetData>
    <row r="1" customFormat="false" ht="6" hidden="false" customHeight="true" outlineLevel="0" collapsed="false"/>
    <row r="2" customFormat="false" ht="6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36" hidden="false" customHeight="true" outlineLevel="0" collapsed="false">
      <c r="A3" s="2" t="s">
        <v>53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9.5" hidden="false" customHeight="true" outlineLevel="0" collapsed="false">
      <c r="A4" s="3" t="s">
        <v>54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2" hidden="false" customHeight="true" outlineLevel="0" collapsed="false"/>
    <row r="6" customFormat="false" ht="30" hidden="false" customHeight="true" outlineLevel="0" collapsed="false">
      <c r="A6" s="65" t="s">
        <v>55</v>
      </c>
      <c r="B6" s="65" t="s">
        <v>30</v>
      </c>
      <c r="C6" s="65" t="s">
        <v>56</v>
      </c>
      <c r="D6" s="65" t="s">
        <v>57</v>
      </c>
      <c r="E6" s="65" t="s">
        <v>43</v>
      </c>
      <c r="F6" s="65" t="s">
        <v>41</v>
      </c>
      <c r="G6" s="65" t="s">
        <v>58</v>
      </c>
      <c r="H6" s="65" t="s">
        <v>5</v>
      </c>
      <c r="I6" s="65" t="s">
        <v>59</v>
      </c>
      <c r="J6" s="66" t="s">
        <v>60</v>
      </c>
      <c r="K6" s="65" t="s">
        <v>61</v>
      </c>
      <c r="L6" s="65" t="s">
        <v>62</v>
      </c>
      <c r="M6" s="66" t="s">
        <v>63</v>
      </c>
      <c r="N6" s="66" t="s">
        <v>64</v>
      </c>
      <c r="O6" s="66" t="s">
        <v>65</v>
      </c>
      <c r="P6" s="65" t="s">
        <v>66</v>
      </c>
    </row>
    <row r="7" customFormat="false" ht="18" hidden="false" customHeight="true" outlineLevel="0" collapsed="false">
      <c r="A7" s="67"/>
      <c r="B7" s="68" t="s">
        <v>67</v>
      </c>
      <c r="C7" s="68" t="s">
        <v>68</v>
      </c>
      <c r="D7" s="68" t="s">
        <v>69</v>
      </c>
      <c r="E7" s="68" t="s">
        <v>70</v>
      </c>
      <c r="F7" s="69"/>
      <c r="G7" s="70" t="s">
        <v>71</v>
      </c>
      <c r="H7" s="70" t="s">
        <v>12</v>
      </c>
      <c r="I7" s="71" t="n">
        <v>16437.86</v>
      </c>
      <c r="J7" s="72" t="n">
        <f aca="false">IF($I7="","",IFERROR($I7*INDEX(TAXAS,MATCH($H7,MOEDAS,0)),""))</f>
        <v>16437.86</v>
      </c>
      <c r="K7" s="73" t="n">
        <v>9</v>
      </c>
      <c r="L7" s="74" t="n">
        <v>46268</v>
      </c>
      <c r="M7" s="75" t="n">
        <f aca="true">IF($G7&lt;&gt;"Parcelado",0,IF(OR($K7="",$L7=""),0,MIN($K7,MAX(0,(YEAR(TODAY())-YEAR($L7))*12+(MONTH(TODAY())-MONTH($L7))+IF(DAY(TODAY())&gt;=DAY($L7),1,0)))))</f>
        <v>0</v>
      </c>
      <c r="N7" s="72" t="n">
        <f aca="false">IF($J7="","",IF($G7="Pago",$J7,IF($G7="Reembolsado",0,IF($G7="Parcelado",IFERROR($J7/$K7*$M7,0),0))))</f>
        <v>0</v>
      </c>
      <c r="O7" s="72" t="n">
        <f aca="false">IF($J7="","",IF($G7="Reembolsado",0,$J7-$N7))</f>
        <v>16437.86</v>
      </c>
      <c r="P7" s="76" t="s">
        <v>72</v>
      </c>
    </row>
    <row r="8" customFormat="false" ht="18" hidden="false" customHeight="true" outlineLevel="0" collapsed="false">
      <c r="A8" s="77"/>
      <c r="B8" s="78"/>
      <c r="C8" s="78"/>
      <c r="D8" s="78"/>
      <c r="E8" s="78"/>
      <c r="F8" s="78"/>
      <c r="G8" s="79"/>
      <c r="H8" s="79"/>
      <c r="I8" s="80"/>
      <c r="J8" s="72" t="str">
        <f aca="false">IF($I8="","",IFERROR($I8*INDEX(TAXAS,MATCH($H8,MOEDAS,0)),""))</f>
        <v/>
      </c>
      <c r="K8" s="81"/>
      <c r="L8" s="77"/>
      <c r="M8" s="75" t="n">
        <f aca="true">IF($G8&lt;&gt;"Parcelado",0,IF(OR($K8="",$L8=""),0,MIN($K8,MAX(0,(YEAR(TODAY())-YEAR($L8))*12+(MONTH(TODAY())-MONTH($L8))+IF(DAY(TODAY())&gt;=DAY($L8),1,0)))))</f>
        <v>0</v>
      </c>
      <c r="N8" s="72" t="str">
        <f aca="false">IF($J8="","",IF($G8="Pago",$J8,IF($G8="Reembolsado",0,IF($G8="Parcelado",IFERROR($J8/$K8*$M8,0),0))))</f>
        <v/>
      </c>
      <c r="O8" s="72" t="str">
        <f aca="false">IF($J8="","",IF($G8="Reembolsado",0,$J8-$N8))</f>
        <v/>
      </c>
      <c r="P8" s="78"/>
    </row>
    <row r="9" customFormat="false" ht="18" hidden="false" customHeight="true" outlineLevel="0" collapsed="false">
      <c r="A9" s="74"/>
      <c r="B9" s="68"/>
      <c r="C9" s="68"/>
      <c r="D9" s="68"/>
      <c r="E9" s="68"/>
      <c r="F9" s="68"/>
      <c r="G9" s="70"/>
      <c r="H9" s="70"/>
      <c r="I9" s="71"/>
      <c r="J9" s="72" t="str">
        <f aca="false">IF($I9="","",IFERROR($I9*INDEX(TAXAS,MATCH($H9,MOEDAS,0)),""))</f>
        <v/>
      </c>
      <c r="K9" s="73"/>
      <c r="L9" s="74"/>
      <c r="M9" s="75" t="n">
        <f aca="true">IF($G9&lt;&gt;"Parcelado",0,IF(OR($K9="",$L9=""),0,MIN($K9,MAX(0,(YEAR(TODAY())-YEAR($L9))*12+(MONTH(TODAY())-MONTH($L9))+IF(DAY(TODAY())&gt;=DAY($L9),1,0)))))</f>
        <v>0</v>
      </c>
      <c r="N9" s="72" t="str">
        <f aca="false">IF($J9="","",IF($G9="Pago",$J9,IF($G9="Reembolsado",0,IF($G9="Parcelado",IFERROR($J9/$K9*$M9,0),0))))</f>
        <v/>
      </c>
      <c r="O9" s="72" t="str">
        <f aca="false">IF($J9="","",IF($G9="Reembolsado",0,$J9-$N9))</f>
        <v/>
      </c>
      <c r="P9" s="68"/>
    </row>
    <row r="10" customFormat="false" ht="18" hidden="false" customHeight="true" outlineLevel="0" collapsed="false">
      <c r="A10" s="77"/>
      <c r="B10" s="78"/>
      <c r="C10" s="78"/>
      <c r="D10" s="78"/>
      <c r="E10" s="78"/>
      <c r="F10" s="78"/>
      <c r="G10" s="79"/>
      <c r="H10" s="79"/>
      <c r="I10" s="80"/>
      <c r="J10" s="72" t="str">
        <f aca="false">IF($I10="","",IFERROR($I10*INDEX(TAXAS,MATCH($H10,MOEDAS,0)),""))</f>
        <v/>
      </c>
      <c r="K10" s="81"/>
      <c r="L10" s="77"/>
      <c r="M10" s="75" t="n">
        <f aca="true">IF($G10&lt;&gt;"Parcelado",0,IF(OR($K10="",$L10=""),0,MIN($K10,MAX(0,(YEAR(TODAY())-YEAR($L10))*12+(MONTH(TODAY())-MONTH($L10))+IF(DAY(TODAY())&gt;=DAY($L10),1,0)))))</f>
        <v>0</v>
      </c>
      <c r="N10" s="72" t="str">
        <f aca="false">IF($J10="","",IF($G10="Pago",$J10,IF($G10="Reembolsado",0,IF($G10="Parcelado",IFERROR($J10/$K10*$M10,0),0))))</f>
        <v/>
      </c>
      <c r="O10" s="72" t="str">
        <f aca="false">IF($J10="","",IF($G10="Reembolsado",0,$J10-$N10))</f>
        <v/>
      </c>
      <c r="P10" s="78"/>
    </row>
    <row r="11" customFormat="false" ht="18" hidden="false" customHeight="true" outlineLevel="0" collapsed="false">
      <c r="A11" s="74"/>
      <c r="B11" s="68"/>
      <c r="C11" s="68"/>
      <c r="D11" s="68"/>
      <c r="E11" s="68"/>
      <c r="F11" s="68"/>
      <c r="G11" s="70"/>
      <c r="H11" s="70"/>
      <c r="I11" s="71"/>
      <c r="J11" s="72" t="str">
        <f aca="false">IF($I11="","",IFERROR($I11*INDEX(TAXAS,MATCH($H11,MOEDAS,0)),""))</f>
        <v/>
      </c>
      <c r="K11" s="73"/>
      <c r="L11" s="74"/>
      <c r="M11" s="75" t="n">
        <f aca="true">IF($G11&lt;&gt;"Parcelado",0,IF(OR($K11="",$L11=""),0,MIN($K11,MAX(0,(YEAR(TODAY())-YEAR($L11))*12+(MONTH(TODAY())-MONTH($L11))+IF(DAY(TODAY())&gt;=DAY($L11),1,0)))))</f>
        <v>0</v>
      </c>
      <c r="N11" s="72" t="str">
        <f aca="false">IF($J11="","",IF($G11="Pago",$J11,IF($G11="Reembolsado",0,IF($G11="Parcelado",IFERROR($J11/$K11*$M11,0),0))))</f>
        <v/>
      </c>
      <c r="O11" s="72" t="str">
        <f aca="false">IF($J11="","",IF($G11="Reembolsado",0,$J11-$N11))</f>
        <v/>
      </c>
      <c r="P11" s="68"/>
    </row>
    <row r="12" customFormat="false" ht="18" hidden="false" customHeight="true" outlineLevel="0" collapsed="false">
      <c r="A12" s="77"/>
      <c r="B12" s="78"/>
      <c r="C12" s="78"/>
      <c r="D12" s="78"/>
      <c r="E12" s="78"/>
      <c r="F12" s="78"/>
      <c r="G12" s="79"/>
      <c r="H12" s="79"/>
      <c r="I12" s="80"/>
      <c r="J12" s="72" t="str">
        <f aca="false">IF($I12="","",IFERROR($I12*INDEX(TAXAS,MATCH($H12,MOEDAS,0)),""))</f>
        <v/>
      </c>
      <c r="K12" s="81"/>
      <c r="L12" s="77"/>
      <c r="M12" s="75" t="n">
        <f aca="true">IF($G12&lt;&gt;"Parcelado",0,IF(OR($K12="",$L12=""),0,MIN($K12,MAX(0,(YEAR(TODAY())-YEAR($L12))*12+(MONTH(TODAY())-MONTH($L12))+IF(DAY(TODAY())&gt;=DAY($L12),1,0)))))</f>
        <v>0</v>
      </c>
      <c r="N12" s="72" t="str">
        <f aca="false">IF($J12="","",IF($G12="Pago",$J12,IF($G12="Reembolsado",0,IF($G12="Parcelado",IFERROR($J12/$K12*$M12,0),0))))</f>
        <v/>
      </c>
      <c r="O12" s="72" t="str">
        <f aca="false">IF($J12="","",IF($G12="Reembolsado",0,$J12-$N12))</f>
        <v/>
      </c>
      <c r="P12" s="78"/>
    </row>
    <row r="13" customFormat="false" ht="18" hidden="false" customHeight="true" outlineLevel="0" collapsed="false">
      <c r="A13" s="74"/>
      <c r="B13" s="68"/>
      <c r="C13" s="68"/>
      <c r="D13" s="68"/>
      <c r="E13" s="68"/>
      <c r="F13" s="68"/>
      <c r="G13" s="70"/>
      <c r="H13" s="70"/>
      <c r="I13" s="71"/>
      <c r="J13" s="72" t="str">
        <f aca="false">IF($I13="","",IFERROR($I13*INDEX(TAXAS,MATCH($H13,MOEDAS,0)),""))</f>
        <v/>
      </c>
      <c r="K13" s="73"/>
      <c r="L13" s="74"/>
      <c r="M13" s="75" t="n">
        <f aca="true">IF($G13&lt;&gt;"Parcelado",0,IF(OR($K13="",$L13=""),0,MIN($K13,MAX(0,(YEAR(TODAY())-YEAR($L13))*12+(MONTH(TODAY())-MONTH($L13))+IF(DAY(TODAY())&gt;=DAY($L13),1,0)))))</f>
        <v>0</v>
      </c>
      <c r="N13" s="72" t="str">
        <f aca="false">IF($J13="","",IF($G13="Pago",$J13,IF($G13="Reembolsado",0,IF($G13="Parcelado",IFERROR($J13/$K13*$M13,0),0))))</f>
        <v/>
      </c>
      <c r="O13" s="72" t="str">
        <f aca="false">IF($J13="","",IF($G13="Reembolsado",0,$J13-$N13))</f>
        <v/>
      </c>
      <c r="P13" s="68"/>
    </row>
    <row r="14" customFormat="false" ht="18" hidden="false" customHeight="true" outlineLevel="0" collapsed="false">
      <c r="A14" s="77"/>
      <c r="B14" s="78"/>
      <c r="C14" s="78"/>
      <c r="D14" s="78"/>
      <c r="E14" s="78"/>
      <c r="F14" s="78"/>
      <c r="G14" s="79"/>
      <c r="H14" s="79"/>
      <c r="I14" s="80"/>
      <c r="J14" s="72" t="str">
        <f aca="false">IF($I14="","",IFERROR($I14*INDEX(TAXAS,MATCH($H14,MOEDAS,0)),""))</f>
        <v/>
      </c>
      <c r="K14" s="81"/>
      <c r="L14" s="77"/>
      <c r="M14" s="75" t="n">
        <f aca="true">IF($G14&lt;&gt;"Parcelado",0,IF(OR($K14="",$L14=""),0,MIN($K14,MAX(0,(YEAR(TODAY())-YEAR($L14))*12+(MONTH(TODAY())-MONTH($L14))+IF(DAY(TODAY())&gt;=DAY($L14),1,0)))))</f>
        <v>0</v>
      </c>
      <c r="N14" s="72" t="str">
        <f aca="false">IF($J14="","",IF($G14="Pago",$J14,IF($G14="Reembolsado",0,IF($G14="Parcelado",IFERROR($J14/$K14*$M14,0),0))))</f>
        <v/>
      </c>
      <c r="O14" s="72" t="str">
        <f aca="false">IF($J14="","",IF($G14="Reembolsado",0,$J14-$N14))</f>
        <v/>
      </c>
      <c r="P14" s="78"/>
    </row>
    <row r="15" customFormat="false" ht="18" hidden="false" customHeight="true" outlineLevel="0" collapsed="false">
      <c r="A15" s="74"/>
      <c r="B15" s="68"/>
      <c r="C15" s="68"/>
      <c r="D15" s="68"/>
      <c r="E15" s="68"/>
      <c r="F15" s="68"/>
      <c r="G15" s="70"/>
      <c r="H15" s="70"/>
      <c r="I15" s="71"/>
      <c r="J15" s="72" t="str">
        <f aca="false">IF($I15="","",IFERROR($I15*INDEX(TAXAS,MATCH($H15,MOEDAS,0)),""))</f>
        <v/>
      </c>
      <c r="K15" s="73"/>
      <c r="L15" s="74"/>
      <c r="M15" s="75" t="n">
        <f aca="true">IF($G15&lt;&gt;"Parcelado",0,IF(OR($K15="",$L15=""),0,MIN($K15,MAX(0,(YEAR(TODAY())-YEAR($L15))*12+(MONTH(TODAY())-MONTH($L15))+IF(DAY(TODAY())&gt;=DAY($L15),1,0)))))</f>
        <v>0</v>
      </c>
      <c r="N15" s="72" t="str">
        <f aca="false">IF($J15="","",IF($G15="Pago",$J15,IF($G15="Reembolsado",0,IF($G15="Parcelado",IFERROR($J15/$K15*$M15,0),0))))</f>
        <v/>
      </c>
      <c r="O15" s="72" t="str">
        <f aca="false">IF($J15="","",IF($G15="Reembolsado",0,$J15-$N15))</f>
        <v/>
      </c>
      <c r="P15" s="68"/>
    </row>
    <row r="16" customFormat="false" ht="18" hidden="false" customHeight="true" outlineLevel="0" collapsed="false">
      <c r="A16" s="77"/>
      <c r="B16" s="78"/>
      <c r="C16" s="78"/>
      <c r="D16" s="78"/>
      <c r="E16" s="78"/>
      <c r="F16" s="78"/>
      <c r="G16" s="79"/>
      <c r="H16" s="79"/>
      <c r="I16" s="80"/>
      <c r="J16" s="72" t="str">
        <f aca="false">IF($I16="","",IFERROR($I16*INDEX(TAXAS,MATCH($H16,MOEDAS,0)),""))</f>
        <v/>
      </c>
      <c r="K16" s="81"/>
      <c r="L16" s="77"/>
      <c r="M16" s="75" t="n">
        <f aca="true">IF($G16&lt;&gt;"Parcelado",0,IF(OR($K16="",$L16=""),0,MIN($K16,MAX(0,(YEAR(TODAY())-YEAR($L16))*12+(MONTH(TODAY())-MONTH($L16))+IF(DAY(TODAY())&gt;=DAY($L16),1,0)))))</f>
        <v>0</v>
      </c>
      <c r="N16" s="72" t="str">
        <f aca="false">IF($J16="","",IF($G16="Pago",$J16,IF($G16="Reembolsado",0,IF($G16="Parcelado",IFERROR($J16/$K16*$M16,0),0))))</f>
        <v/>
      </c>
      <c r="O16" s="72" t="str">
        <f aca="false">IF($J16="","",IF($G16="Reembolsado",0,$J16-$N16))</f>
        <v/>
      </c>
      <c r="P16" s="78"/>
    </row>
    <row r="17" customFormat="false" ht="18" hidden="false" customHeight="true" outlineLevel="0" collapsed="false">
      <c r="A17" s="74"/>
      <c r="B17" s="68"/>
      <c r="C17" s="68"/>
      <c r="D17" s="68"/>
      <c r="E17" s="68"/>
      <c r="F17" s="68"/>
      <c r="G17" s="70"/>
      <c r="H17" s="70"/>
      <c r="I17" s="71"/>
      <c r="J17" s="72" t="str">
        <f aca="false">IF($I17="","",IFERROR($I17*INDEX(TAXAS,MATCH($H17,MOEDAS,0)),""))</f>
        <v/>
      </c>
      <c r="K17" s="73"/>
      <c r="L17" s="74"/>
      <c r="M17" s="75" t="n">
        <f aca="true">IF($G17&lt;&gt;"Parcelado",0,IF(OR($K17="",$L17=""),0,MIN($K17,MAX(0,(YEAR(TODAY())-YEAR($L17))*12+(MONTH(TODAY())-MONTH($L17))+IF(DAY(TODAY())&gt;=DAY($L17),1,0)))))</f>
        <v>0</v>
      </c>
      <c r="N17" s="72" t="str">
        <f aca="false">IF($J17="","",IF($G17="Pago",$J17,IF($G17="Reembolsado",0,IF($G17="Parcelado",IFERROR($J17/$K17*$M17,0),0))))</f>
        <v/>
      </c>
      <c r="O17" s="72" t="str">
        <f aca="false">IF($J17="","",IF($G17="Reembolsado",0,$J17-$N17))</f>
        <v/>
      </c>
      <c r="P17" s="68"/>
    </row>
    <row r="18" customFormat="false" ht="18" hidden="false" customHeight="true" outlineLevel="0" collapsed="false">
      <c r="A18" s="77"/>
      <c r="B18" s="78"/>
      <c r="C18" s="78"/>
      <c r="D18" s="78"/>
      <c r="E18" s="78"/>
      <c r="F18" s="78"/>
      <c r="G18" s="79"/>
      <c r="H18" s="79"/>
      <c r="I18" s="80"/>
      <c r="J18" s="72" t="str">
        <f aca="false">IF($I18="","",IFERROR($I18*INDEX(TAXAS,MATCH($H18,MOEDAS,0)),""))</f>
        <v/>
      </c>
      <c r="K18" s="81"/>
      <c r="L18" s="77"/>
      <c r="M18" s="75" t="n">
        <f aca="true">IF($G18&lt;&gt;"Parcelado",0,IF(OR($K18="",$L18=""),0,MIN($K18,MAX(0,(YEAR(TODAY())-YEAR($L18))*12+(MONTH(TODAY())-MONTH($L18))+IF(DAY(TODAY())&gt;=DAY($L18),1,0)))))</f>
        <v>0</v>
      </c>
      <c r="N18" s="72" t="str">
        <f aca="false">IF($J18="","",IF($G18="Pago",$J18,IF($G18="Reembolsado",0,IF($G18="Parcelado",IFERROR($J18/$K18*$M18,0),0))))</f>
        <v/>
      </c>
      <c r="O18" s="72" t="str">
        <f aca="false">IF($J18="","",IF($G18="Reembolsado",0,$J18-$N18))</f>
        <v/>
      </c>
      <c r="P18" s="78"/>
    </row>
    <row r="19" customFormat="false" ht="18" hidden="false" customHeight="true" outlineLevel="0" collapsed="false">
      <c r="A19" s="74"/>
      <c r="B19" s="68"/>
      <c r="C19" s="68"/>
      <c r="D19" s="68"/>
      <c r="E19" s="68"/>
      <c r="F19" s="68"/>
      <c r="G19" s="70"/>
      <c r="H19" s="70"/>
      <c r="I19" s="71"/>
      <c r="J19" s="72" t="str">
        <f aca="false">IF($I19="","",IFERROR($I19*INDEX(TAXAS,MATCH($H19,MOEDAS,0)),""))</f>
        <v/>
      </c>
      <c r="K19" s="73"/>
      <c r="L19" s="74"/>
      <c r="M19" s="75" t="n">
        <f aca="true">IF($G19&lt;&gt;"Parcelado",0,IF(OR($K19="",$L19=""),0,MIN($K19,MAX(0,(YEAR(TODAY())-YEAR($L19))*12+(MONTH(TODAY())-MONTH($L19))+IF(DAY(TODAY())&gt;=DAY($L19),1,0)))))</f>
        <v>0</v>
      </c>
      <c r="N19" s="72" t="str">
        <f aca="false">IF($J19="","",IF($G19="Pago",$J19,IF($G19="Reembolsado",0,IF($G19="Parcelado",IFERROR($J19/$K19*$M19,0),0))))</f>
        <v/>
      </c>
      <c r="O19" s="72" t="str">
        <f aca="false">IF($J19="","",IF($G19="Reembolsado",0,$J19-$N19))</f>
        <v/>
      </c>
      <c r="P19" s="68"/>
    </row>
    <row r="20" customFormat="false" ht="18" hidden="false" customHeight="true" outlineLevel="0" collapsed="false">
      <c r="A20" s="77"/>
      <c r="B20" s="78"/>
      <c r="C20" s="78"/>
      <c r="D20" s="78"/>
      <c r="E20" s="78"/>
      <c r="F20" s="78"/>
      <c r="G20" s="79"/>
      <c r="H20" s="79"/>
      <c r="I20" s="80"/>
      <c r="J20" s="72" t="str">
        <f aca="false">IF($I20="","",IFERROR($I20*INDEX(TAXAS,MATCH($H20,MOEDAS,0)),""))</f>
        <v/>
      </c>
      <c r="K20" s="81"/>
      <c r="L20" s="77"/>
      <c r="M20" s="75" t="n">
        <f aca="true">IF($G20&lt;&gt;"Parcelado",0,IF(OR($K20="",$L20=""),0,MIN($K20,MAX(0,(YEAR(TODAY())-YEAR($L20))*12+(MONTH(TODAY())-MONTH($L20))+IF(DAY(TODAY())&gt;=DAY($L20),1,0)))))</f>
        <v>0</v>
      </c>
      <c r="N20" s="72" t="str">
        <f aca="false">IF($J20="","",IF($G20="Pago",$J20,IF($G20="Reembolsado",0,IF($G20="Parcelado",IFERROR($J20/$K20*$M20,0),0))))</f>
        <v/>
      </c>
      <c r="O20" s="72" t="str">
        <f aca="false">IF($J20="","",IF($G20="Reembolsado",0,$J20-$N20))</f>
        <v/>
      </c>
      <c r="P20" s="78"/>
    </row>
    <row r="21" customFormat="false" ht="18" hidden="false" customHeight="true" outlineLevel="0" collapsed="false">
      <c r="A21" s="74"/>
      <c r="B21" s="68"/>
      <c r="C21" s="68"/>
      <c r="D21" s="68"/>
      <c r="E21" s="68"/>
      <c r="F21" s="68"/>
      <c r="G21" s="70"/>
      <c r="H21" s="70"/>
      <c r="I21" s="71"/>
      <c r="J21" s="72" t="str">
        <f aca="false">IF($I21="","",IFERROR($I21*INDEX(TAXAS,MATCH($H21,MOEDAS,0)),""))</f>
        <v/>
      </c>
      <c r="K21" s="73"/>
      <c r="L21" s="74"/>
      <c r="M21" s="75" t="n">
        <f aca="true">IF($G21&lt;&gt;"Parcelado",0,IF(OR($K21="",$L21=""),0,MIN($K21,MAX(0,(YEAR(TODAY())-YEAR($L21))*12+(MONTH(TODAY())-MONTH($L21))+IF(DAY(TODAY())&gt;=DAY($L21),1,0)))))</f>
        <v>0</v>
      </c>
      <c r="N21" s="72" t="str">
        <f aca="false">IF($J21="","",IF($G21="Pago",$J21,IF($G21="Reembolsado",0,IF($G21="Parcelado",IFERROR($J21/$K21*$M21,0),0))))</f>
        <v/>
      </c>
      <c r="O21" s="72" t="str">
        <f aca="false">IF($J21="","",IF($G21="Reembolsado",0,$J21-$N21))</f>
        <v/>
      </c>
      <c r="P21" s="68"/>
    </row>
    <row r="22" customFormat="false" ht="18" hidden="false" customHeight="true" outlineLevel="0" collapsed="false">
      <c r="A22" s="77"/>
      <c r="B22" s="78"/>
      <c r="C22" s="78"/>
      <c r="D22" s="78"/>
      <c r="E22" s="78"/>
      <c r="F22" s="78"/>
      <c r="G22" s="79"/>
      <c r="H22" s="79"/>
      <c r="I22" s="80"/>
      <c r="J22" s="72" t="str">
        <f aca="false">IF($I22="","",IFERROR($I22*INDEX(TAXAS,MATCH($H22,MOEDAS,0)),""))</f>
        <v/>
      </c>
      <c r="K22" s="81"/>
      <c r="L22" s="77"/>
      <c r="M22" s="75" t="n">
        <f aca="true">IF($G22&lt;&gt;"Parcelado",0,IF(OR($K22="",$L22=""),0,MIN($K22,MAX(0,(YEAR(TODAY())-YEAR($L22))*12+(MONTH(TODAY())-MONTH($L22))+IF(DAY(TODAY())&gt;=DAY($L22),1,0)))))</f>
        <v>0</v>
      </c>
      <c r="N22" s="72" t="str">
        <f aca="false">IF($J22="","",IF($G22="Pago",$J22,IF($G22="Reembolsado",0,IF($G22="Parcelado",IFERROR($J22/$K22*$M22,0),0))))</f>
        <v/>
      </c>
      <c r="O22" s="72" t="str">
        <f aca="false">IF($J22="","",IF($G22="Reembolsado",0,$J22-$N22))</f>
        <v/>
      </c>
      <c r="P22" s="78"/>
    </row>
    <row r="23" customFormat="false" ht="18" hidden="false" customHeight="true" outlineLevel="0" collapsed="false">
      <c r="A23" s="74"/>
      <c r="B23" s="68"/>
      <c r="C23" s="68"/>
      <c r="D23" s="68"/>
      <c r="E23" s="68"/>
      <c r="F23" s="68"/>
      <c r="G23" s="70"/>
      <c r="H23" s="70"/>
      <c r="I23" s="71"/>
      <c r="J23" s="72" t="str">
        <f aca="false">IF($I23="","",IFERROR($I23*INDEX(TAXAS,MATCH($H23,MOEDAS,0)),""))</f>
        <v/>
      </c>
      <c r="K23" s="73"/>
      <c r="L23" s="74"/>
      <c r="M23" s="75" t="n">
        <f aca="true">IF($G23&lt;&gt;"Parcelado",0,IF(OR($K23="",$L23=""),0,MIN($K23,MAX(0,(YEAR(TODAY())-YEAR($L23))*12+(MONTH(TODAY())-MONTH($L23))+IF(DAY(TODAY())&gt;=DAY($L23),1,0)))))</f>
        <v>0</v>
      </c>
      <c r="N23" s="72" t="str">
        <f aca="false">IF($J23="","",IF($G23="Pago",$J23,IF($G23="Reembolsado",0,IF($G23="Parcelado",IFERROR($J23/$K23*$M23,0),0))))</f>
        <v/>
      </c>
      <c r="O23" s="72" t="str">
        <f aca="false">IF($J23="","",IF($G23="Reembolsado",0,$J23-$N23))</f>
        <v/>
      </c>
      <c r="P23" s="68"/>
    </row>
    <row r="24" customFormat="false" ht="18" hidden="false" customHeight="true" outlineLevel="0" collapsed="false">
      <c r="A24" s="77"/>
      <c r="B24" s="78"/>
      <c r="C24" s="78"/>
      <c r="D24" s="78"/>
      <c r="E24" s="78"/>
      <c r="F24" s="78"/>
      <c r="G24" s="79"/>
      <c r="H24" s="79"/>
      <c r="I24" s="80"/>
      <c r="J24" s="72" t="str">
        <f aca="false">IF($I24="","",IFERROR($I24*INDEX(TAXAS,MATCH($H24,MOEDAS,0)),""))</f>
        <v/>
      </c>
      <c r="K24" s="81"/>
      <c r="L24" s="77"/>
      <c r="M24" s="75" t="n">
        <f aca="true">IF($G24&lt;&gt;"Parcelado",0,IF(OR($K24="",$L24=""),0,MIN($K24,MAX(0,(YEAR(TODAY())-YEAR($L24))*12+(MONTH(TODAY())-MONTH($L24))+IF(DAY(TODAY())&gt;=DAY($L24),1,0)))))</f>
        <v>0</v>
      </c>
      <c r="N24" s="72" t="str">
        <f aca="false">IF($J24="","",IF($G24="Pago",$J24,IF($G24="Reembolsado",0,IF($G24="Parcelado",IFERROR($J24/$K24*$M24,0),0))))</f>
        <v/>
      </c>
      <c r="O24" s="72" t="str">
        <f aca="false">IF($J24="","",IF($G24="Reembolsado",0,$J24-$N24))</f>
        <v/>
      </c>
      <c r="P24" s="78"/>
    </row>
    <row r="25" customFormat="false" ht="18" hidden="false" customHeight="true" outlineLevel="0" collapsed="false">
      <c r="A25" s="74"/>
      <c r="B25" s="68"/>
      <c r="C25" s="68"/>
      <c r="D25" s="68"/>
      <c r="E25" s="68"/>
      <c r="F25" s="68"/>
      <c r="G25" s="70"/>
      <c r="H25" s="70"/>
      <c r="I25" s="71"/>
      <c r="J25" s="72" t="str">
        <f aca="false">IF($I25="","",IFERROR($I25*INDEX(TAXAS,MATCH($H25,MOEDAS,0)),""))</f>
        <v/>
      </c>
      <c r="K25" s="73"/>
      <c r="L25" s="74"/>
      <c r="M25" s="75" t="n">
        <f aca="true">IF($G25&lt;&gt;"Parcelado",0,IF(OR($K25="",$L25=""),0,MIN($K25,MAX(0,(YEAR(TODAY())-YEAR($L25))*12+(MONTH(TODAY())-MONTH($L25))+IF(DAY(TODAY())&gt;=DAY($L25),1,0)))))</f>
        <v>0</v>
      </c>
      <c r="N25" s="72" t="str">
        <f aca="false">IF($J25="","",IF($G25="Pago",$J25,IF($G25="Reembolsado",0,IF($G25="Parcelado",IFERROR($J25/$K25*$M25,0),0))))</f>
        <v/>
      </c>
      <c r="O25" s="72" t="str">
        <f aca="false">IF($J25="","",IF($G25="Reembolsado",0,$J25-$N25))</f>
        <v/>
      </c>
      <c r="P25" s="68"/>
    </row>
    <row r="26" customFormat="false" ht="18" hidden="false" customHeight="true" outlineLevel="0" collapsed="false">
      <c r="A26" s="77"/>
      <c r="B26" s="78"/>
      <c r="C26" s="78"/>
      <c r="D26" s="78"/>
      <c r="E26" s="78"/>
      <c r="F26" s="78"/>
      <c r="G26" s="79"/>
      <c r="H26" s="79"/>
      <c r="I26" s="80"/>
      <c r="J26" s="72" t="str">
        <f aca="false">IF($I26="","",IFERROR($I26*INDEX(TAXAS,MATCH($H26,MOEDAS,0)),""))</f>
        <v/>
      </c>
      <c r="K26" s="81"/>
      <c r="L26" s="77"/>
      <c r="M26" s="75" t="n">
        <f aca="true">IF($G26&lt;&gt;"Parcelado",0,IF(OR($K26="",$L26=""),0,MIN($K26,MAX(0,(YEAR(TODAY())-YEAR($L26))*12+(MONTH(TODAY())-MONTH($L26))+IF(DAY(TODAY())&gt;=DAY($L26),1,0)))))</f>
        <v>0</v>
      </c>
      <c r="N26" s="72" t="str">
        <f aca="false">IF($J26="","",IF($G26="Pago",$J26,IF($G26="Reembolsado",0,IF($G26="Parcelado",IFERROR($J26/$K26*$M26,0),0))))</f>
        <v/>
      </c>
      <c r="O26" s="72" t="str">
        <f aca="false">IF($J26="","",IF($G26="Reembolsado",0,$J26-$N26))</f>
        <v/>
      </c>
      <c r="P26" s="78"/>
    </row>
    <row r="27" customFormat="false" ht="18" hidden="false" customHeight="true" outlineLevel="0" collapsed="false">
      <c r="A27" s="74"/>
      <c r="B27" s="68"/>
      <c r="C27" s="68"/>
      <c r="D27" s="68"/>
      <c r="E27" s="68"/>
      <c r="F27" s="68"/>
      <c r="G27" s="70"/>
      <c r="H27" s="70"/>
      <c r="I27" s="71"/>
      <c r="J27" s="72" t="str">
        <f aca="false">IF($I27="","",IFERROR($I27*INDEX(TAXAS,MATCH($H27,MOEDAS,0)),""))</f>
        <v/>
      </c>
      <c r="K27" s="73"/>
      <c r="L27" s="74"/>
      <c r="M27" s="75" t="n">
        <f aca="true">IF($G27&lt;&gt;"Parcelado",0,IF(OR($K27="",$L27=""),0,MIN($K27,MAX(0,(YEAR(TODAY())-YEAR($L27))*12+(MONTH(TODAY())-MONTH($L27))+IF(DAY(TODAY())&gt;=DAY($L27),1,0)))))</f>
        <v>0</v>
      </c>
      <c r="N27" s="72" t="str">
        <f aca="false">IF($J27="","",IF($G27="Pago",$J27,IF($G27="Reembolsado",0,IF($G27="Parcelado",IFERROR($J27/$K27*$M27,0),0))))</f>
        <v/>
      </c>
      <c r="O27" s="72" t="str">
        <f aca="false">IF($J27="","",IF($G27="Reembolsado",0,$J27-$N27))</f>
        <v/>
      </c>
      <c r="P27" s="68"/>
    </row>
    <row r="28" customFormat="false" ht="18" hidden="false" customHeight="true" outlineLevel="0" collapsed="false">
      <c r="A28" s="77"/>
      <c r="B28" s="78"/>
      <c r="C28" s="78"/>
      <c r="D28" s="78"/>
      <c r="E28" s="78"/>
      <c r="F28" s="78"/>
      <c r="G28" s="79"/>
      <c r="H28" s="79"/>
      <c r="I28" s="80"/>
      <c r="J28" s="72" t="str">
        <f aca="false">IF($I28="","",IFERROR($I28*INDEX(TAXAS,MATCH($H28,MOEDAS,0)),""))</f>
        <v/>
      </c>
      <c r="K28" s="81"/>
      <c r="L28" s="77"/>
      <c r="M28" s="75" t="n">
        <f aca="true">IF($G28&lt;&gt;"Parcelado",0,IF(OR($K28="",$L28=""),0,MIN($K28,MAX(0,(YEAR(TODAY())-YEAR($L28))*12+(MONTH(TODAY())-MONTH($L28))+IF(DAY(TODAY())&gt;=DAY($L28),1,0)))))</f>
        <v>0</v>
      </c>
      <c r="N28" s="72" t="str">
        <f aca="false">IF($J28="","",IF($G28="Pago",$J28,IF($G28="Reembolsado",0,IF($G28="Parcelado",IFERROR($J28/$K28*$M28,0),0))))</f>
        <v/>
      </c>
      <c r="O28" s="72" t="str">
        <f aca="false">IF($J28="","",IF($G28="Reembolsado",0,$J28-$N28))</f>
        <v/>
      </c>
      <c r="P28" s="78"/>
    </row>
    <row r="29" customFormat="false" ht="18" hidden="false" customHeight="true" outlineLevel="0" collapsed="false">
      <c r="A29" s="74"/>
      <c r="B29" s="68"/>
      <c r="C29" s="68"/>
      <c r="D29" s="68"/>
      <c r="E29" s="68"/>
      <c r="F29" s="68"/>
      <c r="G29" s="70"/>
      <c r="H29" s="70"/>
      <c r="I29" s="71"/>
      <c r="J29" s="72" t="str">
        <f aca="false">IF($I29="","",IFERROR($I29*INDEX(TAXAS,MATCH($H29,MOEDAS,0)),""))</f>
        <v/>
      </c>
      <c r="K29" s="73"/>
      <c r="L29" s="74"/>
      <c r="M29" s="75" t="n">
        <f aca="true">IF($G29&lt;&gt;"Parcelado",0,IF(OR($K29="",$L29=""),0,MIN($K29,MAX(0,(YEAR(TODAY())-YEAR($L29))*12+(MONTH(TODAY())-MONTH($L29))+IF(DAY(TODAY())&gt;=DAY($L29),1,0)))))</f>
        <v>0</v>
      </c>
      <c r="N29" s="72" t="str">
        <f aca="false">IF($J29="","",IF($G29="Pago",$J29,IF($G29="Reembolsado",0,IF($G29="Parcelado",IFERROR($J29/$K29*$M29,0),0))))</f>
        <v/>
      </c>
      <c r="O29" s="72" t="str">
        <f aca="false">IF($J29="","",IF($G29="Reembolsado",0,$J29-$N29))</f>
        <v/>
      </c>
      <c r="P29" s="68"/>
    </row>
    <row r="30" customFormat="false" ht="18" hidden="false" customHeight="true" outlineLevel="0" collapsed="false">
      <c r="A30" s="77"/>
      <c r="B30" s="78"/>
      <c r="C30" s="78"/>
      <c r="D30" s="78"/>
      <c r="E30" s="78"/>
      <c r="F30" s="78"/>
      <c r="G30" s="79"/>
      <c r="H30" s="79"/>
      <c r="I30" s="80"/>
      <c r="J30" s="72" t="str">
        <f aca="false">IF($I30="","",IFERROR($I30*INDEX(TAXAS,MATCH($H30,MOEDAS,0)),""))</f>
        <v/>
      </c>
      <c r="K30" s="81"/>
      <c r="L30" s="77"/>
      <c r="M30" s="75" t="n">
        <f aca="true">IF($G30&lt;&gt;"Parcelado",0,IF(OR($K30="",$L30=""),0,MIN($K30,MAX(0,(YEAR(TODAY())-YEAR($L30))*12+(MONTH(TODAY())-MONTH($L30))+IF(DAY(TODAY())&gt;=DAY($L30),1,0)))))</f>
        <v>0</v>
      </c>
      <c r="N30" s="72" t="str">
        <f aca="false">IF($J30="","",IF($G30="Pago",$J30,IF($G30="Reembolsado",0,IF($G30="Parcelado",IFERROR($J30/$K30*$M30,0),0))))</f>
        <v/>
      </c>
      <c r="O30" s="72" t="str">
        <f aca="false">IF($J30="","",IF($G30="Reembolsado",0,$J30-$N30))</f>
        <v/>
      </c>
      <c r="P30" s="78"/>
    </row>
    <row r="31" customFormat="false" ht="18" hidden="false" customHeight="true" outlineLevel="0" collapsed="false">
      <c r="A31" s="74"/>
      <c r="B31" s="68"/>
      <c r="C31" s="68"/>
      <c r="D31" s="68"/>
      <c r="E31" s="68"/>
      <c r="F31" s="68"/>
      <c r="G31" s="70"/>
      <c r="H31" s="70"/>
      <c r="I31" s="71"/>
      <c r="J31" s="72" t="str">
        <f aca="false">IF($I31="","",IFERROR($I31*INDEX(TAXAS,MATCH($H31,MOEDAS,0)),""))</f>
        <v/>
      </c>
      <c r="K31" s="73"/>
      <c r="L31" s="74"/>
      <c r="M31" s="75" t="n">
        <f aca="true">IF($G31&lt;&gt;"Parcelado",0,IF(OR($K31="",$L31=""),0,MIN($K31,MAX(0,(YEAR(TODAY())-YEAR($L31))*12+(MONTH(TODAY())-MONTH($L31))+IF(DAY(TODAY())&gt;=DAY($L31),1,0)))))</f>
        <v>0</v>
      </c>
      <c r="N31" s="72" t="str">
        <f aca="false">IF($J31="","",IF($G31="Pago",$J31,IF($G31="Reembolsado",0,IF($G31="Parcelado",IFERROR($J31/$K31*$M31,0),0))))</f>
        <v/>
      </c>
      <c r="O31" s="72" t="str">
        <f aca="false">IF($J31="","",IF($G31="Reembolsado",0,$J31-$N31))</f>
        <v/>
      </c>
      <c r="P31" s="68"/>
    </row>
    <row r="32" customFormat="false" ht="18" hidden="false" customHeight="true" outlineLevel="0" collapsed="false">
      <c r="A32" s="77"/>
      <c r="B32" s="78"/>
      <c r="C32" s="78"/>
      <c r="D32" s="78"/>
      <c r="E32" s="78"/>
      <c r="F32" s="78"/>
      <c r="G32" s="79"/>
      <c r="H32" s="79"/>
      <c r="I32" s="80"/>
      <c r="J32" s="72" t="str">
        <f aca="false">IF($I32="","",IFERROR($I32*INDEX(TAXAS,MATCH($H32,MOEDAS,0)),""))</f>
        <v/>
      </c>
      <c r="K32" s="81"/>
      <c r="L32" s="77"/>
      <c r="M32" s="75" t="n">
        <f aca="true">IF($G32&lt;&gt;"Parcelado",0,IF(OR($K32="",$L32=""),0,MIN($K32,MAX(0,(YEAR(TODAY())-YEAR($L32))*12+(MONTH(TODAY())-MONTH($L32))+IF(DAY(TODAY())&gt;=DAY($L32),1,0)))))</f>
        <v>0</v>
      </c>
      <c r="N32" s="72" t="str">
        <f aca="false">IF($J32="","",IF($G32="Pago",$J32,IF($G32="Reembolsado",0,IF($G32="Parcelado",IFERROR($J32/$K32*$M32,0),0))))</f>
        <v/>
      </c>
      <c r="O32" s="72" t="str">
        <f aca="false">IF($J32="","",IF($G32="Reembolsado",0,$J32-$N32))</f>
        <v/>
      </c>
      <c r="P32" s="78"/>
    </row>
    <row r="33" customFormat="false" ht="18" hidden="false" customHeight="true" outlineLevel="0" collapsed="false">
      <c r="A33" s="74"/>
      <c r="B33" s="68"/>
      <c r="C33" s="68"/>
      <c r="D33" s="68"/>
      <c r="E33" s="68"/>
      <c r="F33" s="68"/>
      <c r="G33" s="70"/>
      <c r="H33" s="70"/>
      <c r="I33" s="71"/>
      <c r="J33" s="72" t="str">
        <f aca="false">IF($I33="","",IFERROR($I33*INDEX(TAXAS,MATCH($H33,MOEDAS,0)),""))</f>
        <v/>
      </c>
      <c r="K33" s="73"/>
      <c r="L33" s="74"/>
      <c r="M33" s="75" t="n">
        <f aca="true">IF($G33&lt;&gt;"Parcelado",0,IF(OR($K33="",$L33=""),0,MIN($K33,MAX(0,(YEAR(TODAY())-YEAR($L33))*12+(MONTH(TODAY())-MONTH($L33))+IF(DAY(TODAY())&gt;=DAY($L33),1,0)))))</f>
        <v>0</v>
      </c>
      <c r="N33" s="72" t="str">
        <f aca="false">IF($J33="","",IF($G33="Pago",$J33,IF($G33="Reembolsado",0,IF($G33="Parcelado",IFERROR($J33/$K33*$M33,0),0))))</f>
        <v/>
      </c>
      <c r="O33" s="72" t="str">
        <f aca="false">IF($J33="","",IF($G33="Reembolsado",0,$J33-$N33))</f>
        <v/>
      </c>
      <c r="P33" s="68"/>
    </row>
    <row r="34" customFormat="false" ht="18" hidden="false" customHeight="true" outlineLevel="0" collapsed="false">
      <c r="A34" s="77"/>
      <c r="B34" s="78"/>
      <c r="C34" s="78"/>
      <c r="D34" s="78"/>
      <c r="E34" s="78"/>
      <c r="F34" s="78"/>
      <c r="G34" s="79"/>
      <c r="H34" s="79"/>
      <c r="I34" s="80"/>
      <c r="J34" s="72" t="str">
        <f aca="false">IF($I34="","",IFERROR($I34*INDEX(TAXAS,MATCH($H34,MOEDAS,0)),""))</f>
        <v/>
      </c>
      <c r="K34" s="81"/>
      <c r="L34" s="77"/>
      <c r="M34" s="75" t="n">
        <f aca="true">IF($G34&lt;&gt;"Parcelado",0,IF(OR($K34="",$L34=""),0,MIN($K34,MAX(0,(YEAR(TODAY())-YEAR($L34))*12+(MONTH(TODAY())-MONTH($L34))+IF(DAY(TODAY())&gt;=DAY($L34),1,0)))))</f>
        <v>0</v>
      </c>
      <c r="N34" s="72" t="str">
        <f aca="false">IF($J34="","",IF($G34="Pago",$J34,IF($G34="Reembolsado",0,IF($G34="Parcelado",IFERROR($J34/$K34*$M34,0),0))))</f>
        <v/>
      </c>
      <c r="O34" s="72" t="str">
        <f aca="false">IF($J34="","",IF($G34="Reembolsado",0,$J34-$N34))</f>
        <v/>
      </c>
      <c r="P34" s="78"/>
    </row>
    <row r="35" customFormat="false" ht="18" hidden="false" customHeight="true" outlineLevel="0" collapsed="false">
      <c r="A35" s="74"/>
      <c r="B35" s="68"/>
      <c r="C35" s="68"/>
      <c r="D35" s="68"/>
      <c r="E35" s="68"/>
      <c r="F35" s="68"/>
      <c r="G35" s="70"/>
      <c r="H35" s="70"/>
      <c r="I35" s="71"/>
      <c r="J35" s="72" t="str">
        <f aca="false">IF($I35="","",IFERROR($I35*INDEX(TAXAS,MATCH($H35,MOEDAS,0)),""))</f>
        <v/>
      </c>
      <c r="K35" s="73"/>
      <c r="L35" s="74"/>
      <c r="M35" s="75" t="n">
        <f aca="true">IF($G35&lt;&gt;"Parcelado",0,IF(OR($K35="",$L35=""),0,MIN($K35,MAX(0,(YEAR(TODAY())-YEAR($L35))*12+(MONTH(TODAY())-MONTH($L35))+IF(DAY(TODAY())&gt;=DAY($L35),1,0)))))</f>
        <v>0</v>
      </c>
      <c r="N35" s="72" t="str">
        <f aca="false">IF($J35="","",IF($G35="Pago",$J35,IF($G35="Reembolsado",0,IF($G35="Parcelado",IFERROR($J35/$K35*$M35,0),0))))</f>
        <v/>
      </c>
      <c r="O35" s="72" t="str">
        <f aca="false">IF($J35="","",IF($G35="Reembolsado",0,$J35-$N35))</f>
        <v/>
      </c>
      <c r="P35" s="68"/>
    </row>
    <row r="36" customFormat="false" ht="18" hidden="false" customHeight="true" outlineLevel="0" collapsed="false">
      <c r="A36" s="77"/>
      <c r="B36" s="78"/>
      <c r="C36" s="78"/>
      <c r="D36" s="78"/>
      <c r="E36" s="78"/>
      <c r="F36" s="78"/>
      <c r="G36" s="79"/>
      <c r="H36" s="79"/>
      <c r="I36" s="80"/>
      <c r="J36" s="72" t="str">
        <f aca="false">IF($I36="","",IFERROR($I36*INDEX(TAXAS,MATCH($H36,MOEDAS,0)),""))</f>
        <v/>
      </c>
      <c r="K36" s="81"/>
      <c r="L36" s="77"/>
      <c r="M36" s="75" t="n">
        <f aca="true">IF($G36&lt;&gt;"Parcelado",0,IF(OR($K36="",$L36=""),0,MIN($K36,MAX(0,(YEAR(TODAY())-YEAR($L36))*12+(MONTH(TODAY())-MONTH($L36))+IF(DAY(TODAY())&gt;=DAY($L36),1,0)))))</f>
        <v>0</v>
      </c>
      <c r="N36" s="72" t="str">
        <f aca="false">IF($J36="","",IF($G36="Pago",$J36,IF($G36="Reembolsado",0,IF($G36="Parcelado",IFERROR($J36/$K36*$M36,0),0))))</f>
        <v/>
      </c>
      <c r="O36" s="72" t="str">
        <f aca="false">IF($J36="","",IF($G36="Reembolsado",0,$J36-$N36))</f>
        <v/>
      </c>
      <c r="P36" s="78"/>
    </row>
    <row r="37" customFormat="false" ht="18" hidden="false" customHeight="true" outlineLevel="0" collapsed="false">
      <c r="A37" s="74"/>
      <c r="B37" s="68"/>
      <c r="C37" s="68"/>
      <c r="D37" s="68"/>
      <c r="E37" s="68"/>
      <c r="F37" s="68"/>
      <c r="G37" s="70"/>
      <c r="H37" s="70"/>
      <c r="I37" s="71"/>
      <c r="J37" s="72" t="str">
        <f aca="false">IF($I37="","",IFERROR($I37*INDEX(TAXAS,MATCH($H37,MOEDAS,0)),""))</f>
        <v/>
      </c>
      <c r="K37" s="73"/>
      <c r="L37" s="74"/>
      <c r="M37" s="75" t="n">
        <f aca="true">IF($G37&lt;&gt;"Parcelado",0,IF(OR($K37="",$L37=""),0,MIN($K37,MAX(0,(YEAR(TODAY())-YEAR($L37))*12+(MONTH(TODAY())-MONTH($L37))+IF(DAY(TODAY())&gt;=DAY($L37),1,0)))))</f>
        <v>0</v>
      </c>
      <c r="N37" s="72" t="str">
        <f aca="false">IF($J37="","",IF($G37="Pago",$J37,IF($G37="Reembolsado",0,IF($G37="Parcelado",IFERROR($J37/$K37*$M37,0),0))))</f>
        <v/>
      </c>
      <c r="O37" s="72" t="str">
        <f aca="false">IF($J37="","",IF($G37="Reembolsado",0,$J37-$N37))</f>
        <v/>
      </c>
      <c r="P37" s="68"/>
    </row>
    <row r="38" customFormat="false" ht="18" hidden="false" customHeight="true" outlineLevel="0" collapsed="false">
      <c r="A38" s="77"/>
      <c r="B38" s="78"/>
      <c r="C38" s="78"/>
      <c r="D38" s="78"/>
      <c r="E38" s="78"/>
      <c r="F38" s="78"/>
      <c r="G38" s="79"/>
      <c r="H38" s="79"/>
      <c r="I38" s="80"/>
      <c r="J38" s="72" t="str">
        <f aca="false">IF($I38="","",IFERROR($I38*INDEX(TAXAS,MATCH($H38,MOEDAS,0)),""))</f>
        <v/>
      </c>
      <c r="K38" s="81"/>
      <c r="L38" s="77"/>
      <c r="M38" s="75" t="n">
        <f aca="true">IF($G38&lt;&gt;"Parcelado",0,IF(OR($K38="",$L38=""),0,MIN($K38,MAX(0,(YEAR(TODAY())-YEAR($L38))*12+(MONTH(TODAY())-MONTH($L38))+IF(DAY(TODAY())&gt;=DAY($L38),1,0)))))</f>
        <v>0</v>
      </c>
      <c r="N38" s="72" t="str">
        <f aca="false">IF($J38="","",IF($G38="Pago",$J38,IF($G38="Reembolsado",0,IF($G38="Parcelado",IFERROR($J38/$K38*$M38,0),0))))</f>
        <v/>
      </c>
      <c r="O38" s="72" t="str">
        <f aca="false">IF($J38="","",IF($G38="Reembolsado",0,$J38-$N38))</f>
        <v/>
      </c>
      <c r="P38" s="78"/>
    </row>
    <row r="39" customFormat="false" ht="18" hidden="false" customHeight="true" outlineLevel="0" collapsed="false">
      <c r="A39" s="74"/>
      <c r="B39" s="68"/>
      <c r="C39" s="68"/>
      <c r="D39" s="68"/>
      <c r="E39" s="68"/>
      <c r="F39" s="68"/>
      <c r="G39" s="70"/>
      <c r="H39" s="70"/>
      <c r="I39" s="71"/>
      <c r="J39" s="72" t="str">
        <f aca="false">IF($I39="","",IFERROR($I39*INDEX(TAXAS,MATCH($H39,MOEDAS,0)),""))</f>
        <v/>
      </c>
      <c r="K39" s="73"/>
      <c r="L39" s="74"/>
      <c r="M39" s="75" t="n">
        <f aca="true">IF($G39&lt;&gt;"Parcelado",0,IF(OR($K39="",$L39=""),0,MIN($K39,MAX(0,(YEAR(TODAY())-YEAR($L39))*12+(MONTH(TODAY())-MONTH($L39))+IF(DAY(TODAY())&gt;=DAY($L39),1,0)))))</f>
        <v>0</v>
      </c>
      <c r="N39" s="72" t="str">
        <f aca="false">IF($J39="","",IF($G39="Pago",$J39,IF($G39="Reembolsado",0,IF($G39="Parcelado",IFERROR($J39/$K39*$M39,0),0))))</f>
        <v/>
      </c>
      <c r="O39" s="72" t="str">
        <f aca="false">IF($J39="","",IF($G39="Reembolsado",0,$J39-$N39))</f>
        <v/>
      </c>
      <c r="P39" s="68"/>
    </row>
    <row r="40" customFormat="false" ht="18" hidden="false" customHeight="true" outlineLevel="0" collapsed="false">
      <c r="A40" s="77"/>
      <c r="B40" s="78"/>
      <c r="C40" s="78"/>
      <c r="D40" s="78"/>
      <c r="E40" s="78"/>
      <c r="F40" s="78"/>
      <c r="G40" s="79"/>
      <c r="H40" s="79"/>
      <c r="I40" s="80"/>
      <c r="J40" s="72" t="str">
        <f aca="false">IF($I40="","",IFERROR($I40*INDEX(TAXAS,MATCH($H40,MOEDAS,0)),""))</f>
        <v/>
      </c>
      <c r="K40" s="81"/>
      <c r="L40" s="77"/>
      <c r="M40" s="75" t="n">
        <f aca="true">IF($G40&lt;&gt;"Parcelado",0,IF(OR($K40="",$L40=""),0,MIN($K40,MAX(0,(YEAR(TODAY())-YEAR($L40))*12+(MONTH(TODAY())-MONTH($L40))+IF(DAY(TODAY())&gt;=DAY($L40),1,0)))))</f>
        <v>0</v>
      </c>
      <c r="N40" s="72" t="str">
        <f aca="false">IF($J40="","",IF($G40="Pago",$J40,IF($G40="Reembolsado",0,IF($G40="Parcelado",IFERROR($J40/$K40*$M40,0),0))))</f>
        <v/>
      </c>
      <c r="O40" s="72" t="str">
        <f aca="false">IF($J40="","",IF($G40="Reembolsado",0,$J40-$N40))</f>
        <v/>
      </c>
      <c r="P40" s="78"/>
    </row>
    <row r="41" customFormat="false" ht="18" hidden="false" customHeight="true" outlineLevel="0" collapsed="false">
      <c r="A41" s="74"/>
      <c r="B41" s="68"/>
      <c r="C41" s="68"/>
      <c r="D41" s="68"/>
      <c r="E41" s="68"/>
      <c r="F41" s="68"/>
      <c r="G41" s="70"/>
      <c r="H41" s="70"/>
      <c r="I41" s="71"/>
      <c r="J41" s="72" t="str">
        <f aca="false">IF($I41="","",IFERROR($I41*INDEX(TAXAS,MATCH($H41,MOEDAS,0)),""))</f>
        <v/>
      </c>
      <c r="K41" s="73"/>
      <c r="L41" s="74"/>
      <c r="M41" s="75" t="n">
        <f aca="true">IF($G41&lt;&gt;"Parcelado",0,IF(OR($K41="",$L41=""),0,MIN($K41,MAX(0,(YEAR(TODAY())-YEAR($L41))*12+(MONTH(TODAY())-MONTH($L41))+IF(DAY(TODAY())&gt;=DAY($L41),1,0)))))</f>
        <v>0</v>
      </c>
      <c r="N41" s="72" t="str">
        <f aca="false">IF($J41="","",IF($G41="Pago",$J41,IF($G41="Reembolsado",0,IF($G41="Parcelado",IFERROR($J41/$K41*$M41,0),0))))</f>
        <v/>
      </c>
      <c r="O41" s="72" t="str">
        <f aca="false">IF($J41="","",IF($G41="Reembolsado",0,$J41-$N41))</f>
        <v/>
      </c>
      <c r="P41" s="68"/>
    </row>
    <row r="42" customFormat="false" ht="18" hidden="false" customHeight="true" outlineLevel="0" collapsed="false">
      <c r="A42" s="77"/>
      <c r="B42" s="78"/>
      <c r="C42" s="78"/>
      <c r="D42" s="78"/>
      <c r="E42" s="78"/>
      <c r="F42" s="78"/>
      <c r="G42" s="79"/>
      <c r="H42" s="79"/>
      <c r="I42" s="80"/>
      <c r="J42" s="72" t="str">
        <f aca="false">IF($I42="","",IFERROR($I42*INDEX(TAXAS,MATCH($H42,MOEDAS,0)),""))</f>
        <v/>
      </c>
      <c r="K42" s="81"/>
      <c r="L42" s="77"/>
      <c r="M42" s="75" t="n">
        <f aca="true">IF($G42&lt;&gt;"Parcelado",0,IF(OR($K42="",$L42=""),0,MIN($K42,MAX(0,(YEAR(TODAY())-YEAR($L42))*12+(MONTH(TODAY())-MONTH($L42))+IF(DAY(TODAY())&gt;=DAY($L42),1,0)))))</f>
        <v>0</v>
      </c>
      <c r="N42" s="72" t="str">
        <f aca="false">IF($J42="","",IF($G42="Pago",$J42,IF($G42="Reembolsado",0,IF($G42="Parcelado",IFERROR($J42/$K42*$M42,0),0))))</f>
        <v/>
      </c>
      <c r="O42" s="72" t="str">
        <f aca="false">IF($J42="","",IF($G42="Reembolsado",0,$J42-$N42))</f>
        <v/>
      </c>
      <c r="P42" s="78"/>
    </row>
    <row r="43" customFormat="false" ht="18" hidden="false" customHeight="true" outlineLevel="0" collapsed="false">
      <c r="A43" s="74"/>
      <c r="B43" s="68"/>
      <c r="C43" s="68"/>
      <c r="D43" s="68"/>
      <c r="E43" s="68"/>
      <c r="F43" s="68"/>
      <c r="G43" s="70"/>
      <c r="H43" s="70"/>
      <c r="I43" s="71"/>
      <c r="J43" s="72" t="str">
        <f aca="false">IF($I43="","",IFERROR($I43*INDEX(TAXAS,MATCH($H43,MOEDAS,0)),""))</f>
        <v/>
      </c>
      <c r="K43" s="73"/>
      <c r="L43" s="74"/>
      <c r="M43" s="75" t="n">
        <f aca="true">IF($G43&lt;&gt;"Parcelado",0,IF(OR($K43="",$L43=""),0,MIN($K43,MAX(0,(YEAR(TODAY())-YEAR($L43))*12+(MONTH(TODAY())-MONTH($L43))+IF(DAY(TODAY())&gt;=DAY($L43),1,0)))))</f>
        <v>0</v>
      </c>
      <c r="N43" s="72" t="str">
        <f aca="false">IF($J43="","",IF($G43="Pago",$J43,IF($G43="Reembolsado",0,IF($G43="Parcelado",IFERROR($J43/$K43*$M43,0),0))))</f>
        <v/>
      </c>
      <c r="O43" s="72" t="str">
        <f aca="false">IF($J43="","",IF($G43="Reembolsado",0,$J43-$N43))</f>
        <v/>
      </c>
      <c r="P43" s="68"/>
    </row>
    <row r="44" customFormat="false" ht="18" hidden="false" customHeight="true" outlineLevel="0" collapsed="false">
      <c r="A44" s="77"/>
      <c r="B44" s="78"/>
      <c r="C44" s="78"/>
      <c r="D44" s="78"/>
      <c r="E44" s="78"/>
      <c r="F44" s="78"/>
      <c r="G44" s="79"/>
      <c r="H44" s="79"/>
      <c r="I44" s="80"/>
      <c r="J44" s="72" t="str">
        <f aca="false">IF($I44="","",IFERROR($I44*INDEX(TAXAS,MATCH($H44,MOEDAS,0)),""))</f>
        <v/>
      </c>
      <c r="K44" s="81"/>
      <c r="L44" s="77"/>
      <c r="M44" s="75" t="n">
        <f aca="true">IF($G44&lt;&gt;"Parcelado",0,IF(OR($K44="",$L44=""),0,MIN($K44,MAX(0,(YEAR(TODAY())-YEAR($L44))*12+(MONTH(TODAY())-MONTH($L44))+IF(DAY(TODAY())&gt;=DAY($L44),1,0)))))</f>
        <v>0</v>
      </c>
      <c r="N44" s="72" t="str">
        <f aca="false">IF($J44="","",IF($G44="Pago",$J44,IF($G44="Reembolsado",0,IF($G44="Parcelado",IFERROR($J44/$K44*$M44,0),0))))</f>
        <v/>
      </c>
      <c r="O44" s="72" t="str">
        <f aca="false">IF($J44="","",IF($G44="Reembolsado",0,$J44-$N44))</f>
        <v/>
      </c>
      <c r="P44" s="78"/>
    </row>
    <row r="45" customFormat="false" ht="18" hidden="false" customHeight="true" outlineLevel="0" collapsed="false">
      <c r="A45" s="74"/>
      <c r="B45" s="68"/>
      <c r="C45" s="68"/>
      <c r="D45" s="68"/>
      <c r="E45" s="68"/>
      <c r="F45" s="68"/>
      <c r="G45" s="70"/>
      <c r="H45" s="70"/>
      <c r="I45" s="71"/>
      <c r="J45" s="72" t="str">
        <f aca="false">IF($I45="","",IFERROR($I45*INDEX(TAXAS,MATCH($H45,MOEDAS,0)),""))</f>
        <v/>
      </c>
      <c r="K45" s="73"/>
      <c r="L45" s="74"/>
      <c r="M45" s="75" t="n">
        <f aca="true">IF($G45&lt;&gt;"Parcelado",0,IF(OR($K45="",$L45=""),0,MIN($K45,MAX(0,(YEAR(TODAY())-YEAR($L45))*12+(MONTH(TODAY())-MONTH($L45))+IF(DAY(TODAY())&gt;=DAY($L45),1,0)))))</f>
        <v>0</v>
      </c>
      <c r="N45" s="72" t="str">
        <f aca="false">IF($J45="","",IF($G45="Pago",$J45,IF($G45="Reembolsado",0,IF($G45="Parcelado",IFERROR($J45/$K45*$M45,0),0))))</f>
        <v/>
      </c>
      <c r="O45" s="72" t="str">
        <f aca="false">IF($J45="","",IF($G45="Reembolsado",0,$J45-$N45))</f>
        <v/>
      </c>
      <c r="P45" s="68"/>
    </row>
    <row r="46" customFormat="false" ht="18" hidden="false" customHeight="true" outlineLevel="0" collapsed="false">
      <c r="A46" s="77"/>
      <c r="B46" s="78"/>
      <c r="C46" s="78"/>
      <c r="D46" s="78"/>
      <c r="E46" s="78"/>
      <c r="F46" s="78"/>
      <c r="G46" s="79"/>
      <c r="H46" s="79"/>
      <c r="I46" s="80"/>
      <c r="J46" s="72" t="str">
        <f aca="false">IF($I46="","",IFERROR($I46*INDEX(TAXAS,MATCH($H46,MOEDAS,0)),""))</f>
        <v/>
      </c>
      <c r="K46" s="81"/>
      <c r="L46" s="77"/>
      <c r="M46" s="75" t="n">
        <f aca="true">IF($G46&lt;&gt;"Parcelado",0,IF(OR($K46="",$L46=""),0,MIN($K46,MAX(0,(YEAR(TODAY())-YEAR($L46))*12+(MONTH(TODAY())-MONTH($L46))+IF(DAY(TODAY())&gt;=DAY($L46),1,0)))))</f>
        <v>0</v>
      </c>
      <c r="N46" s="72" t="str">
        <f aca="false">IF($J46="","",IF($G46="Pago",$J46,IF($G46="Reembolsado",0,IF($G46="Parcelado",IFERROR($J46/$K46*$M46,0),0))))</f>
        <v/>
      </c>
      <c r="O46" s="72" t="str">
        <f aca="false">IF($J46="","",IF($G46="Reembolsado",0,$J46-$N46))</f>
        <v/>
      </c>
      <c r="P46" s="78"/>
    </row>
    <row r="47" customFormat="false" ht="18" hidden="false" customHeight="true" outlineLevel="0" collapsed="false">
      <c r="A47" s="74"/>
      <c r="B47" s="68"/>
      <c r="C47" s="68"/>
      <c r="D47" s="68"/>
      <c r="E47" s="68"/>
      <c r="F47" s="68"/>
      <c r="G47" s="70"/>
      <c r="H47" s="70"/>
      <c r="I47" s="71"/>
      <c r="J47" s="72" t="str">
        <f aca="false">IF($I47="","",IFERROR($I47*INDEX(TAXAS,MATCH($H47,MOEDAS,0)),""))</f>
        <v/>
      </c>
      <c r="K47" s="73"/>
      <c r="L47" s="74"/>
      <c r="M47" s="75" t="n">
        <f aca="true">IF($G47&lt;&gt;"Parcelado",0,IF(OR($K47="",$L47=""),0,MIN($K47,MAX(0,(YEAR(TODAY())-YEAR($L47))*12+(MONTH(TODAY())-MONTH($L47))+IF(DAY(TODAY())&gt;=DAY($L47),1,0)))))</f>
        <v>0</v>
      </c>
      <c r="N47" s="72" t="str">
        <f aca="false">IF($J47="","",IF($G47="Pago",$J47,IF($G47="Reembolsado",0,IF($G47="Parcelado",IFERROR($J47/$K47*$M47,0),0))))</f>
        <v/>
      </c>
      <c r="O47" s="72" t="str">
        <f aca="false">IF($J47="","",IF($G47="Reembolsado",0,$J47-$N47))</f>
        <v/>
      </c>
      <c r="P47" s="68"/>
    </row>
    <row r="48" customFormat="false" ht="18" hidden="false" customHeight="true" outlineLevel="0" collapsed="false">
      <c r="A48" s="77"/>
      <c r="B48" s="78"/>
      <c r="C48" s="78"/>
      <c r="D48" s="78"/>
      <c r="E48" s="78"/>
      <c r="F48" s="78"/>
      <c r="G48" s="79"/>
      <c r="H48" s="79"/>
      <c r="I48" s="80"/>
      <c r="J48" s="72" t="str">
        <f aca="false">IF($I48="","",IFERROR($I48*INDEX(TAXAS,MATCH($H48,MOEDAS,0)),""))</f>
        <v/>
      </c>
      <c r="K48" s="81"/>
      <c r="L48" s="77"/>
      <c r="M48" s="75" t="n">
        <f aca="true">IF($G48&lt;&gt;"Parcelado",0,IF(OR($K48="",$L48=""),0,MIN($K48,MAX(0,(YEAR(TODAY())-YEAR($L48))*12+(MONTH(TODAY())-MONTH($L48))+IF(DAY(TODAY())&gt;=DAY($L48),1,0)))))</f>
        <v>0</v>
      </c>
      <c r="N48" s="72" t="str">
        <f aca="false">IF($J48="","",IF($G48="Pago",$J48,IF($G48="Reembolsado",0,IF($G48="Parcelado",IFERROR($J48/$K48*$M48,0),0))))</f>
        <v/>
      </c>
      <c r="O48" s="72" t="str">
        <f aca="false">IF($J48="","",IF($G48="Reembolsado",0,$J48-$N48))</f>
        <v/>
      </c>
      <c r="P48" s="78"/>
    </row>
    <row r="49" customFormat="false" ht="18" hidden="false" customHeight="true" outlineLevel="0" collapsed="false">
      <c r="A49" s="74"/>
      <c r="B49" s="68"/>
      <c r="C49" s="68"/>
      <c r="D49" s="68"/>
      <c r="E49" s="68"/>
      <c r="F49" s="68"/>
      <c r="G49" s="70"/>
      <c r="H49" s="70"/>
      <c r="I49" s="71"/>
      <c r="J49" s="72" t="str">
        <f aca="false">IF($I49="","",IFERROR($I49*INDEX(TAXAS,MATCH($H49,MOEDAS,0)),""))</f>
        <v/>
      </c>
      <c r="K49" s="73"/>
      <c r="L49" s="74"/>
      <c r="M49" s="75" t="n">
        <f aca="true">IF($G49&lt;&gt;"Parcelado",0,IF(OR($K49="",$L49=""),0,MIN($K49,MAX(0,(YEAR(TODAY())-YEAR($L49))*12+(MONTH(TODAY())-MONTH($L49))+IF(DAY(TODAY())&gt;=DAY($L49),1,0)))))</f>
        <v>0</v>
      </c>
      <c r="N49" s="72" t="str">
        <f aca="false">IF($J49="","",IF($G49="Pago",$J49,IF($G49="Reembolsado",0,IF($G49="Parcelado",IFERROR($J49/$K49*$M49,0),0))))</f>
        <v/>
      </c>
      <c r="O49" s="72" t="str">
        <f aca="false">IF($J49="","",IF($G49="Reembolsado",0,$J49-$N49))</f>
        <v/>
      </c>
      <c r="P49" s="68"/>
    </row>
    <row r="50" customFormat="false" ht="18" hidden="false" customHeight="true" outlineLevel="0" collapsed="false">
      <c r="A50" s="77"/>
      <c r="B50" s="78"/>
      <c r="C50" s="78"/>
      <c r="D50" s="78"/>
      <c r="E50" s="78"/>
      <c r="F50" s="78"/>
      <c r="G50" s="79"/>
      <c r="H50" s="79"/>
      <c r="I50" s="80"/>
      <c r="J50" s="72" t="str">
        <f aca="false">IF($I50="","",IFERROR($I50*INDEX(TAXAS,MATCH($H50,MOEDAS,0)),""))</f>
        <v/>
      </c>
      <c r="K50" s="81"/>
      <c r="L50" s="77"/>
      <c r="M50" s="75" t="n">
        <f aca="true">IF($G50&lt;&gt;"Parcelado",0,IF(OR($K50="",$L50=""),0,MIN($K50,MAX(0,(YEAR(TODAY())-YEAR($L50))*12+(MONTH(TODAY())-MONTH($L50))+IF(DAY(TODAY())&gt;=DAY($L50),1,0)))))</f>
        <v>0</v>
      </c>
      <c r="N50" s="72" t="str">
        <f aca="false">IF($J50="","",IF($G50="Pago",$J50,IF($G50="Reembolsado",0,IF($G50="Parcelado",IFERROR($J50/$K50*$M50,0),0))))</f>
        <v/>
      </c>
      <c r="O50" s="72" t="str">
        <f aca="false">IF($J50="","",IF($G50="Reembolsado",0,$J50-$N50))</f>
        <v/>
      </c>
      <c r="P50" s="78"/>
    </row>
    <row r="51" customFormat="false" ht="18" hidden="false" customHeight="true" outlineLevel="0" collapsed="false">
      <c r="A51" s="74"/>
      <c r="B51" s="68"/>
      <c r="C51" s="68"/>
      <c r="D51" s="68"/>
      <c r="E51" s="68"/>
      <c r="F51" s="68"/>
      <c r="G51" s="70"/>
      <c r="H51" s="70"/>
      <c r="I51" s="71"/>
      <c r="J51" s="72" t="str">
        <f aca="false">IF($I51="","",IFERROR($I51*INDEX(TAXAS,MATCH($H51,MOEDAS,0)),""))</f>
        <v/>
      </c>
      <c r="K51" s="73"/>
      <c r="L51" s="74"/>
      <c r="M51" s="75" t="n">
        <f aca="true">IF($G51&lt;&gt;"Parcelado",0,IF(OR($K51="",$L51=""),0,MIN($K51,MAX(0,(YEAR(TODAY())-YEAR($L51))*12+(MONTH(TODAY())-MONTH($L51))+IF(DAY(TODAY())&gt;=DAY($L51),1,0)))))</f>
        <v>0</v>
      </c>
      <c r="N51" s="72" t="str">
        <f aca="false">IF($J51="","",IF($G51="Pago",$J51,IF($G51="Reembolsado",0,IF($G51="Parcelado",IFERROR($J51/$K51*$M51,0),0))))</f>
        <v/>
      </c>
      <c r="O51" s="72" t="str">
        <f aca="false">IF($J51="","",IF($G51="Reembolsado",0,$J51-$N51))</f>
        <v/>
      </c>
      <c r="P51" s="68"/>
    </row>
    <row r="52" customFormat="false" ht="18" hidden="false" customHeight="true" outlineLevel="0" collapsed="false">
      <c r="A52" s="77"/>
      <c r="B52" s="78"/>
      <c r="C52" s="78"/>
      <c r="D52" s="78"/>
      <c r="E52" s="78"/>
      <c r="F52" s="78"/>
      <c r="G52" s="79"/>
      <c r="H52" s="79"/>
      <c r="I52" s="80"/>
      <c r="J52" s="72" t="str">
        <f aca="false">IF($I52="","",IFERROR($I52*INDEX(TAXAS,MATCH($H52,MOEDAS,0)),""))</f>
        <v/>
      </c>
      <c r="K52" s="81"/>
      <c r="L52" s="77"/>
      <c r="M52" s="75" t="n">
        <f aca="true">IF($G52&lt;&gt;"Parcelado",0,IF(OR($K52="",$L52=""),0,MIN($K52,MAX(0,(YEAR(TODAY())-YEAR($L52))*12+(MONTH(TODAY())-MONTH($L52))+IF(DAY(TODAY())&gt;=DAY($L52),1,0)))))</f>
        <v>0</v>
      </c>
      <c r="N52" s="72" t="str">
        <f aca="false">IF($J52="","",IF($G52="Pago",$J52,IF($G52="Reembolsado",0,IF($G52="Parcelado",IFERROR($J52/$K52*$M52,0),0))))</f>
        <v/>
      </c>
      <c r="O52" s="72" t="str">
        <f aca="false">IF($J52="","",IF($G52="Reembolsado",0,$J52-$N52))</f>
        <v/>
      </c>
      <c r="P52" s="78"/>
    </row>
    <row r="53" customFormat="false" ht="18" hidden="false" customHeight="true" outlineLevel="0" collapsed="false">
      <c r="A53" s="74"/>
      <c r="B53" s="68"/>
      <c r="C53" s="68"/>
      <c r="D53" s="68"/>
      <c r="E53" s="68"/>
      <c r="F53" s="68"/>
      <c r="G53" s="70"/>
      <c r="H53" s="70"/>
      <c r="I53" s="71"/>
      <c r="J53" s="72" t="str">
        <f aca="false">IF($I53="","",IFERROR($I53*INDEX(TAXAS,MATCH($H53,MOEDAS,0)),""))</f>
        <v/>
      </c>
      <c r="K53" s="73"/>
      <c r="L53" s="74"/>
      <c r="M53" s="75" t="n">
        <f aca="true">IF($G53&lt;&gt;"Parcelado",0,IF(OR($K53="",$L53=""),0,MIN($K53,MAX(0,(YEAR(TODAY())-YEAR($L53))*12+(MONTH(TODAY())-MONTH($L53))+IF(DAY(TODAY())&gt;=DAY($L53),1,0)))))</f>
        <v>0</v>
      </c>
      <c r="N53" s="72" t="str">
        <f aca="false">IF($J53="","",IF($G53="Pago",$J53,IF($G53="Reembolsado",0,IF($G53="Parcelado",IFERROR($J53/$K53*$M53,0),0))))</f>
        <v/>
      </c>
      <c r="O53" s="72" t="str">
        <f aca="false">IF($J53="","",IF($G53="Reembolsado",0,$J53-$N53))</f>
        <v/>
      </c>
      <c r="P53" s="68"/>
    </row>
    <row r="54" customFormat="false" ht="18" hidden="false" customHeight="true" outlineLevel="0" collapsed="false">
      <c r="A54" s="77"/>
      <c r="B54" s="78"/>
      <c r="C54" s="78"/>
      <c r="D54" s="78"/>
      <c r="E54" s="78"/>
      <c r="F54" s="78"/>
      <c r="G54" s="79"/>
      <c r="H54" s="79"/>
      <c r="I54" s="80"/>
      <c r="J54" s="72" t="str">
        <f aca="false">IF($I54="","",IFERROR($I54*INDEX(TAXAS,MATCH($H54,MOEDAS,0)),""))</f>
        <v/>
      </c>
      <c r="K54" s="81"/>
      <c r="L54" s="77"/>
      <c r="M54" s="75" t="n">
        <f aca="true">IF($G54&lt;&gt;"Parcelado",0,IF(OR($K54="",$L54=""),0,MIN($K54,MAX(0,(YEAR(TODAY())-YEAR($L54))*12+(MONTH(TODAY())-MONTH($L54))+IF(DAY(TODAY())&gt;=DAY($L54),1,0)))))</f>
        <v>0</v>
      </c>
      <c r="N54" s="72" t="str">
        <f aca="false">IF($J54="","",IF($G54="Pago",$J54,IF($G54="Reembolsado",0,IF($G54="Parcelado",IFERROR($J54/$K54*$M54,0),0))))</f>
        <v/>
      </c>
      <c r="O54" s="72" t="str">
        <f aca="false">IF($J54="","",IF($G54="Reembolsado",0,$J54-$N54))</f>
        <v/>
      </c>
      <c r="P54" s="78"/>
    </row>
    <row r="55" customFormat="false" ht="18" hidden="false" customHeight="true" outlineLevel="0" collapsed="false">
      <c r="A55" s="74"/>
      <c r="B55" s="68"/>
      <c r="C55" s="68"/>
      <c r="D55" s="68"/>
      <c r="E55" s="68"/>
      <c r="F55" s="68"/>
      <c r="G55" s="70"/>
      <c r="H55" s="70"/>
      <c r="I55" s="71"/>
      <c r="J55" s="72" t="str">
        <f aca="false">IF($I55="","",IFERROR($I55*INDEX(TAXAS,MATCH($H55,MOEDAS,0)),""))</f>
        <v/>
      </c>
      <c r="K55" s="73"/>
      <c r="L55" s="74"/>
      <c r="M55" s="75" t="n">
        <f aca="true">IF($G55&lt;&gt;"Parcelado",0,IF(OR($K55="",$L55=""),0,MIN($K55,MAX(0,(YEAR(TODAY())-YEAR($L55))*12+(MONTH(TODAY())-MONTH($L55))+IF(DAY(TODAY())&gt;=DAY($L55),1,0)))))</f>
        <v>0</v>
      </c>
      <c r="N55" s="72" t="str">
        <f aca="false">IF($J55="","",IF($G55="Pago",$J55,IF($G55="Reembolsado",0,IF($G55="Parcelado",IFERROR($J55/$K55*$M55,0),0))))</f>
        <v/>
      </c>
      <c r="O55" s="72" t="str">
        <f aca="false">IF($J55="","",IF($G55="Reembolsado",0,$J55-$N55))</f>
        <v/>
      </c>
      <c r="P55" s="68"/>
    </row>
    <row r="56" customFormat="false" ht="18" hidden="false" customHeight="true" outlineLevel="0" collapsed="false">
      <c r="A56" s="77"/>
      <c r="B56" s="78"/>
      <c r="C56" s="78"/>
      <c r="D56" s="78"/>
      <c r="E56" s="78"/>
      <c r="F56" s="78"/>
      <c r="G56" s="79"/>
      <c r="H56" s="79"/>
      <c r="I56" s="80"/>
      <c r="J56" s="72" t="str">
        <f aca="false">IF($I56="","",IFERROR($I56*INDEX(TAXAS,MATCH($H56,MOEDAS,0)),""))</f>
        <v/>
      </c>
      <c r="K56" s="81"/>
      <c r="L56" s="77"/>
      <c r="M56" s="75" t="n">
        <f aca="true">IF($G56&lt;&gt;"Parcelado",0,IF(OR($K56="",$L56=""),0,MIN($K56,MAX(0,(YEAR(TODAY())-YEAR($L56))*12+(MONTH(TODAY())-MONTH($L56))+IF(DAY(TODAY())&gt;=DAY($L56),1,0)))))</f>
        <v>0</v>
      </c>
      <c r="N56" s="72" t="str">
        <f aca="false">IF($J56="","",IF($G56="Pago",$J56,IF($G56="Reembolsado",0,IF($G56="Parcelado",IFERROR($J56/$K56*$M56,0),0))))</f>
        <v/>
      </c>
      <c r="O56" s="72" t="str">
        <f aca="false">IF($J56="","",IF($G56="Reembolsado",0,$J56-$N56))</f>
        <v/>
      </c>
      <c r="P56" s="78"/>
    </row>
    <row r="57" customFormat="false" ht="18" hidden="false" customHeight="true" outlineLevel="0" collapsed="false">
      <c r="A57" s="74"/>
      <c r="B57" s="68"/>
      <c r="C57" s="68"/>
      <c r="D57" s="68"/>
      <c r="E57" s="68"/>
      <c r="F57" s="68"/>
      <c r="G57" s="70"/>
      <c r="H57" s="70"/>
      <c r="I57" s="71"/>
      <c r="J57" s="72" t="str">
        <f aca="false">IF($I57="","",IFERROR($I57*INDEX(TAXAS,MATCH($H57,MOEDAS,0)),""))</f>
        <v/>
      </c>
      <c r="K57" s="73"/>
      <c r="L57" s="74"/>
      <c r="M57" s="75" t="n">
        <f aca="true">IF($G57&lt;&gt;"Parcelado",0,IF(OR($K57="",$L57=""),0,MIN($K57,MAX(0,(YEAR(TODAY())-YEAR($L57))*12+(MONTH(TODAY())-MONTH($L57))+IF(DAY(TODAY())&gt;=DAY($L57),1,0)))))</f>
        <v>0</v>
      </c>
      <c r="N57" s="72" t="str">
        <f aca="false">IF($J57="","",IF($G57="Pago",$J57,IF($G57="Reembolsado",0,IF($G57="Parcelado",IFERROR($J57/$K57*$M57,0),0))))</f>
        <v/>
      </c>
      <c r="O57" s="72" t="str">
        <f aca="false">IF($J57="","",IF($G57="Reembolsado",0,$J57-$N57))</f>
        <v/>
      </c>
      <c r="P57" s="68"/>
    </row>
    <row r="58" customFormat="false" ht="18" hidden="false" customHeight="true" outlineLevel="0" collapsed="false">
      <c r="A58" s="77"/>
      <c r="B58" s="78"/>
      <c r="C58" s="78"/>
      <c r="D58" s="78"/>
      <c r="E58" s="78"/>
      <c r="F58" s="78"/>
      <c r="G58" s="79"/>
      <c r="H58" s="79"/>
      <c r="I58" s="80"/>
      <c r="J58" s="72" t="str">
        <f aca="false">IF($I58="","",IFERROR($I58*INDEX(TAXAS,MATCH($H58,MOEDAS,0)),""))</f>
        <v/>
      </c>
      <c r="K58" s="81"/>
      <c r="L58" s="77"/>
      <c r="M58" s="75" t="n">
        <f aca="true">IF($G58&lt;&gt;"Parcelado",0,IF(OR($K58="",$L58=""),0,MIN($K58,MAX(0,(YEAR(TODAY())-YEAR($L58))*12+(MONTH(TODAY())-MONTH($L58))+IF(DAY(TODAY())&gt;=DAY($L58),1,0)))))</f>
        <v>0</v>
      </c>
      <c r="N58" s="72" t="str">
        <f aca="false">IF($J58="","",IF($G58="Pago",$J58,IF($G58="Reembolsado",0,IF($G58="Parcelado",IFERROR($J58/$K58*$M58,0),0))))</f>
        <v/>
      </c>
      <c r="O58" s="72" t="str">
        <f aca="false">IF($J58="","",IF($G58="Reembolsado",0,$J58-$N58))</f>
        <v/>
      </c>
      <c r="P58" s="78"/>
    </row>
    <row r="59" customFormat="false" ht="18" hidden="false" customHeight="true" outlineLevel="0" collapsed="false">
      <c r="A59" s="74"/>
      <c r="B59" s="68"/>
      <c r="C59" s="68"/>
      <c r="D59" s="68"/>
      <c r="E59" s="68"/>
      <c r="F59" s="68"/>
      <c r="G59" s="70"/>
      <c r="H59" s="70"/>
      <c r="I59" s="71"/>
      <c r="J59" s="72" t="str">
        <f aca="false">IF($I59="","",IFERROR($I59*INDEX(TAXAS,MATCH($H59,MOEDAS,0)),""))</f>
        <v/>
      </c>
      <c r="K59" s="73"/>
      <c r="L59" s="74"/>
      <c r="M59" s="75" t="n">
        <f aca="true">IF($G59&lt;&gt;"Parcelado",0,IF(OR($K59="",$L59=""),0,MIN($K59,MAX(0,(YEAR(TODAY())-YEAR($L59))*12+(MONTH(TODAY())-MONTH($L59))+IF(DAY(TODAY())&gt;=DAY($L59),1,0)))))</f>
        <v>0</v>
      </c>
      <c r="N59" s="72" t="str">
        <f aca="false">IF($J59="","",IF($G59="Pago",$J59,IF($G59="Reembolsado",0,IF($G59="Parcelado",IFERROR($J59/$K59*$M59,0),0))))</f>
        <v/>
      </c>
      <c r="O59" s="72" t="str">
        <f aca="false">IF($J59="","",IF($G59="Reembolsado",0,$J59-$N59))</f>
        <v/>
      </c>
      <c r="P59" s="68"/>
    </row>
    <row r="60" customFormat="false" ht="18" hidden="false" customHeight="true" outlineLevel="0" collapsed="false">
      <c r="A60" s="77"/>
      <c r="B60" s="78"/>
      <c r="C60" s="78"/>
      <c r="D60" s="78"/>
      <c r="E60" s="78"/>
      <c r="F60" s="78"/>
      <c r="G60" s="79"/>
      <c r="H60" s="79"/>
      <c r="I60" s="80"/>
      <c r="J60" s="72" t="str">
        <f aca="false">IF($I60="","",IFERROR($I60*INDEX(TAXAS,MATCH($H60,MOEDAS,0)),""))</f>
        <v/>
      </c>
      <c r="K60" s="81"/>
      <c r="L60" s="77"/>
      <c r="M60" s="75" t="n">
        <f aca="true">IF($G60&lt;&gt;"Parcelado",0,IF(OR($K60="",$L60=""),0,MIN($K60,MAX(0,(YEAR(TODAY())-YEAR($L60))*12+(MONTH(TODAY())-MONTH($L60))+IF(DAY(TODAY())&gt;=DAY($L60),1,0)))))</f>
        <v>0</v>
      </c>
      <c r="N60" s="72" t="str">
        <f aca="false">IF($J60="","",IF($G60="Pago",$J60,IF($G60="Reembolsado",0,IF($G60="Parcelado",IFERROR($J60/$K60*$M60,0),0))))</f>
        <v/>
      </c>
      <c r="O60" s="72" t="str">
        <f aca="false">IF($J60="","",IF($G60="Reembolsado",0,$J60-$N60))</f>
        <v/>
      </c>
      <c r="P60" s="78"/>
    </row>
    <row r="61" customFormat="false" ht="18" hidden="false" customHeight="true" outlineLevel="0" collapsed="false">
      <c r="A61" s="74"/>
      <c r="B61" s="68"/>
      <c r="C61" s="68"/>
      <c r="D61" s="68"/>
      <c r="E61" s="68"/>
      <c r="F61" s="68"/>
      <c r="G61" s="70"/>
      <c r="H61" s="70"/>
      <c r="I61" s="71"/>
      <c r="J61" s="72" t="str">
        <f aca="false">IF($I61="","",IFERROR($I61*INDEX(TAXAS,MATCH($H61,MOEDAS,0)),""))</f>
        <v/>
      </c>
      <c r="K61" s="73"/>
      <c r="L61" s="74"/>
      <c r="M61" s="75" t="n">
        <f aca="true">IF($G61&lt;&gt;"Parcelado",0,IF(OR($K61="",$L61=""),0,MIN($K61,MAX(0,(YEAR(TODAY())-YEAR($L61))*12+(MONTH(TODAY())-MONTH($L61))+IF(DAY(TODAY())&gt;=DAY($L61),1,0)))))</f>
        <v>0</v>
      </c>
      <c r="N61" s="72" t="str">
        <f aca="false">IF($J61="","",IF($G61="Pago",$J61,IF($G61="Reembolsado",0,IF($G61="Parcelado",IFERROR($J61/$K61*$M61,0),0))))</f>
        <v/>
      </c>
      <c r="O61" s="72" t="str">
        <f aca="false">IF($J61="","",IF($G61="Reembolsado",0,$J61-$N61))</f>
        <v/>
      </c>
      <c r="P61" s="68"/>
    </row>
    <row r="62" customFormat="false" ht="18" hidden="false" customHeight="true" outlineLevel="0" collapsed="false">
      <c r="A62" s="77"/>
      <c r="B62" s="78"/>
      <c r="C62" s="78"/>
      <c r="D62" s="78"/>
      <c r="E62" s="78"/>
      <c r="F62" s="78"/>
      <c r="G62" s="79"/>
      <c r="H62" s="79"/>
      <c r="I62" s="80"/>
      <c r="J62" s="72" t="str">
        <f aca="false">IF($I62="","",IFERROR($I62*INDEX(TAXAS,MATCH($H62,MOEDAS,0)),""))</f>
        <v/>
      </c>
      <c r="K62" s="81"/>
      <c r="L62" s="77"/>
      <c r="M62" s="75" t="n">
        <f aca="true">IF($G62&lt;&gt;"Parcelado",0,IF(OR($K62="",$L62=""),0,MIN($K62,MAX(0,(YEAR(TODAY())-YEAR($L62))*12+(MONTH(TODAY())-MONTH($L62))+IF(DAY(TODAY())&gt;=DAY($L62),1,0)))))</f>
        <v>0</v>
      </c>
      <c r="N62" s="72" t="str">
        <f aca="false">IF($J62="","",IF($G62="Pago",$J62,IF($G62="Reembolsado",0,IF($G62="Parcelado",IFERROR($J62/$K62*$M62,0),0))))</f>
        <v/>
      </c>
      <c r="O62" s="72" t="str">
        <f aca="false">IF($J62="","",IF($G62="Reembolsado",0,$J62-$N62))</f>
        <v/>
      </c>
      <c r="P62" s="78"/>
    </row>
    <row r="63" customFormat="false" ht="18" hidden="false" customHeight="true" outlineLevel="0" collapsed="false">
      <c r="A63" s="74"/>
      <c r="B63" s="68"/>
      <c r="C63" s="68"/>
      <c r="D63" s="68"/>
      <c r="E63" s="68"/>
      <c r="F63" s="68"/>
      <c r="G63" s="70"/>
      <c r="H63" s="70"/>
      <c r="I63" s="71"/>
      <c r="J63" s="72" t="str">
        <f aca="false">IF($I63="","",IFERROR($I63*INDEX(TAXAS,MATCH($H63,MOEDAS,0)),""))</f>
        <v/>
      </c>
      <c r="K63" s="73"/>
      <c r="L63" s="74"/>
      <c r="M63" s="75" t="n">
        <f aca="true">IF($G63&lt;&gt;"Parcelado",0,IF(OR($K63="",$L63=""),0,MIN($K63,MAX(0,(YEAR(TODAY())-YEAR($L63))*12+(MONTH(TODAY())-MONTH($L63))+IF(DAY(TODAY())&gt;=DAY($L63),1,0)))))</f>
        <v>0</v>
      </c>
      <c r="N63" s="72" t="str">
        <f aca="false">IF($J63="","",IF($G63="Pago",$J63,IF($G63="Reembolsado",0,IF($G63="Parcelado",IFERROR($J63/$K63*$M63,0),0))))</f>
        <v/>
      </c>
      <c r="O63" s="72" t="str">
        <f aca="false">IF($J63="","",IF($G63="Reembolsado",0,$J63-$N63))</f>
        <v/>
      </c>
      <c r="P63" s="68"/>
    </row>
    <row r="64" customFormat="false" ht="18" hidden="false" customHeight="true" outlineLevel="0" collapsed="false">
      <c r="A64" s="77"/>
      <c r="B64" s="78"/>
      <c r="C64" s="78"/>
      <c r="D64" s="78"/>
      <c r="E64" s="78"/>
      <c r="F64" s="78"/>
      <c r="G64" s="79"/>
      <c r="H64" s="79"/>
      <c r="I64" s="80"/>
      <c r="J64" s="72" t="str">
        <f aca="false">IF($I64="","",IFERROR($I64*INDEX(TAXAS,MATCH($H64,MOEDAS,0)),""))</f>
        <v/>
      </c>
      <c r="K64" s="81"/>
      <c r="L64" s="77"/>
      <c r="M64" s="75" t="n">
        <f aca="true">IF($G64&lt;&gt;"Parcelado",0,IF(OR($K64="",$L64=""),0,MIN($K64,MAX(0,(YEAR(TODAY())-YEAR($L64))*12+(MONTH(TODAY())-MONTH($L64))+IF(DAY(TODAY())&gt;=DAY($L64),1,0)))))</f>
        <v>0</v>
      </c>
      <c r="N64" s="72" t="str">
        <f aca="false">IF($J64="","",IF($G64="Pago",$J64,IF($G64="Reembolsado",0,IF($G64="Parcelado",IFERROR($J64/$K64*$M64,0),0))))</f>
        <v/>
      </c>
      <c r="O64" s="72" t="str">
        <f aca="false">IF($J64="","",IF($G64="Reembolsado",0,$J64-$N64))</f>
        <v/>
      </c>
      <c r="P64" s="78"/>
    </row>
    <row r="65" customFormat="false" ht="18" hidden="false" customHeight="true" outlineLevel="0" collapsed="false">
      <c r="A65" s="74"/>
      <c r="B65" s="68"/>
      <c r="C65" s="68"/>
      <c r="D65" s="68"/>
      <c r="E65" s="68"/>
      <c r="F65" s="68"/>
      <c r="G65" s="70"/>
      <c r="H65" s="70"/>
      <c r="I65" s="71"/>
      <c r="J65" s="72" t="str">
        <f aca="false">IF($I65="","",IFERROR($I65*INDEX(TAXAS,MATCH($H65,MOEDAS,0)),""))</f>
        <v/>
      </c>
      <c r="K65" s="73"/>
      <c r="L65" s="74"/>
      <c r="M65" s="75" t="n">
        <f aca="true">IF($G65&lt;&gt;"Parcelado",0,IF(OR($K65="",$L65=""),0,MIN($K65,MAX(0,(YEAR(TODAY())-YEAR($L65))*12+(MONTH(TODAY())-MONTH($L65))+IF(DAY(TODAY())&gt;=DAY($L65),1,0)))))</f>
        <v>0</v>
      </c>
      <c r="N65" s="72" t="str">
        <f aca="false">IF($J65="","",IF($G65="Pago",$J65,IF($G65="Reembolsado",0,IF($G65="Parcelado",IFERROR($J65/$K65*$M65,0),0))))</f>
        <v/>
      </c>
      <c r="O65" s="72" t="str">
        <f aca="false">IF($J65="","",IF($G65="Reembolsado",0,$J65-$N65))</f>
        <v/>
      </c>
      <c r="P65" s="68"/>
    </row>
    <row r="66" customFormat="false" ht="18" hidden="false" customHeight="true" outlineLevel="0" collapsed="false">
      <c r="A66" s="77"/>
      <c r="B66" s="78"/>
      <c r="C66" s="78"/>
      <c r="D66" s="78"/>
      <c r="E66" s="78"/>
      <c r="F66" s="78"/>
      <c r="G66" s="79"/>
      <c r="H66" s="79"/>
      <c r="I66" s="80"/>
      <c r="J66" s="72" t="str">
        <f aca="false">IF($I66="","",IFERROR($I66*INDEX(TAXAS,MATCH($H66,MOEDAS,0)),""))</f>
        <v/>
      </c>
      <c r="K66" s="81"/>
      <c r="L66" s="77"/>
      <c r="M66" s="75" t="n">
        <f aca="true">IF($G66&lt;&gt;"Parcelado",0,IF(OR($K66="",$L66=""),0,MIN($K66,MAX(0,(YEAR(TODAY())-YEAR($L66))*12+(MONTH(TODAY())-MONTH($L66))+IF(DAY(TODAY())&gt;=DAY($L66),1,0)))))</f>
        <v>0</v>
      </c>
      <c r="N66" s="72" t="str">
        <f aca="false">IF($J66="","",IF($G66="Pago",$J66,IF($G66="Reembolsado",0,IF($G66="Parcelado",IFERROR($J66/$K66*$M66,0),0))))</f>
        <v/>
      </c>
      <c r="O66" s="72" t="str">
        <f aca="false">IF($J66="","",IF($G66="Reembolsado",0,$J66-$N66))</f>
        <v/>
      </c>
      <c r="P66" s="78"/>
    </row>
    <row r="67" customFormat="false" ht="18" hidden="false" customHeight="true" outlineLevel="0" collapsed="false">
      <c r="A67" s="74"/>
      <c r="B67" s="68"/>
      <c r="C67" s="68"/>
      <c r="D67" s="68"/>
      <c r="E67" s="68"/>
      <c r="F67" s="68"/>
      <c r="G67" s="70"/>
      <c r="H67" s="70"/>
      <c r="I67" s="71"/>
      <c r="J67" s="72" t="str">
        <f aca="false">IF($I67="","",IFERROR($I67*INDEX(TAXAS,MATCH($H67,MOEDAS,0)),""))</f>
        <v/>
      </c>
      <c r="K67" s="73"/>
      <c r="L67" s="74"/>
      <c r="M67" s="75" t="n">
        <f aca="true">IF($G67&lt;&gt;"Parcelado",0,IF(OR($K67="",$L67=""),0,MIN($K67,MAX(0,(YEAR(TODAY())-YEAR($L67))*12+(MONTH(TODAY())-MONTH($L67))+IF(DAY(TODAY())&gt;=DAY($L67),1,0)))))</f>
        <v>0</v>
      </c>
      <c r="N67" s="72" t="str">
        <f aca="false">IF($J67="","",IF($G67="Pago",$J67,IF($G67="Reembolsado",0,IF($G67="Parcelado",IFERROR($J67/$K67*$M67,0),0))))</f>
        <v/>
      </c>
      <c r="O67" s="72" t="str">
        <f aca="false">IF($J67="","",IF($G67="Reembolsado",0,$J67-$N67))</f>
        <v/>
      </c>
      <c r="P67" s="68"/>
    </row>
    <row r="68" customFormat="false" ht="18" hidden="false" customHeight="true" outlineLevel="0" collapsed="false">
      <c r="A68" s="77"/>
      <c r="B68" s="78"/>
      <c r="C68" s="78"/>
      <c r="D68" s="78"/>
      <c r="E68" s="78"/>
      <c r="F68" s="78"/>
      <c r="G68" s="79"/>
      <c r="H68" s="79"/>
      <c r="I68" s="80"/>
      <c r="J68" s="72" t="str">
        <f aca="false">IF($I68="","",IFERROR($I68*INDEX(TAXAS,MATCH($H68,MOEDAS,0)),""))</f>
        <v/>
      </c>
      <c r="K68" s="81"/>
      <c r="L68" s="77"/>
      <c r="M68" s="75" t="n">
        <f aca="true">IF($G68&lt;&gt;"Parcelado",0,IF(OR($K68="",$L68=""),0,MIN($K68,MAX(0,(YEAR(TODAY())-YEAR($L68))*12+(MONTH(TODAY())-MONTH($L68))+IF(DAY(TODAY())&gt;=DAY($L68),1,0)))))</f>
        <v>0</v>
      </c>
      <c r="N68" s="72" t="str">
        <f aca="false">IF($J68="","",IF($G68="Pago",$J68,IF($G68="Reembolsado",0,IF($G68="Parcelado",IFERROR($J68/$K68*$M68,0),0))))</f>
        <v/>
      </c>
      <c r="O68" s="72" t="str">
        <f aca="false">IF($J68="","",IF($G68="Reembolsado",0,$J68-$N68))</f>
        <v/>
      </c>
      <c r="P68" s="78"/>
    </row>
    <row r="69" customFormat="false" ht="18" hidden="false" customHeight="true" outlineLevel="0" collapsed="false">
      <c r="A69" s="74"/>
      <c r="B69" s="68"/>
      <c r="C69" s="68"/>
      <c r="D69" s="68"/>
      <c r="E69" s="68"/>
      <c r="F69" s="68"/>
      <c r="G69" s="70"/>
      <c r="H69" s="70"/>
      <c r="I69" s="71"/>
      <c r="J69" s="72" t="str">
        <f aca="false">IF($I69="","",IFERROR($I69*INDEX(TAXAS,MATCH($H69,MOEDAS,0)),""))</f>
        <v/>
      </c>
      <c r="K69" s="73"/>
      <c r="L69" s="74"/>
      <c r="M69" s="75" t="n">
        <f aca="true">IF($G69&lt;&gt;"Parcelado",0,IF(OR($K69="",$L69=""),0,MIN($K69,MAX(0,(YEAR(TODAY())-YEAR($L69))*12+(MONTH(TODAY())-MONTH($L69))+IF(DAY(TODAY())&gt;=DAY($L69),1,0)))))</f>
        <v>0</v>
      </c>
      <c r="N69" s="72" t="str">
        <f aca="false">IF($J69="","",IF($G69="Pago",$J69,IF($G69="Reembolsado",0,IF($G69="Parcelado",IFERROR($J69/$K69*$M69,0),0))))</f>
        <v/>
      </c>
      <c r="O69" s="72" t="str">
        <f aca="false">IF($J69="","",IF($G69="Reembolsado",0,$J69-$N69))</f>
        <v/>
      </c>
      <c r="P69" s="68"/>
    </row>
    <row r="70" customFormat="false" ht="18" hidden="false" customHeight="true" outlineLevel="0" collapsed="false">
      <c r="A70" s="77"/>
      <c r="B70" s="78"/>
      <c r="C70" s="78"/>
      <c r="D70" s="78"/>
      <c r="E70" s="78"/>
      <c r="F70" s="78"/>
      <c r="G70" s="79"/>
      <c r="H70" s="79"/>
      <c r="I70" s="80"/>
      <c r="J70" s="72" t="str">
        <f aca="false">IF($I70="","",IFERROR($I70*INDEX(TAXAS,MATCH($H70,MOEDAS,0)),""))</f>
        <v/>
      </c>
      <c r="K70" s="81"/>
      <c r="L70" s="77"/>
      <c r="M70" s="75" t="n">
        <f aca="true">IF($G70&lt;&gt;"Parcelado",0,IF(OR($K70="",$L70=""),0,MIN($K70,MAX(0,(YEAR(TODAY())-YEAR($L70))*12+(MONTH(TODAY())-MONTH($L70))+IF(DAY(TODAY())&gt;=DAY($L70),1,0)))))</f>
        <v>0</v>
      </c>
      <c r="N70" s="72" t="str">
        <f aca="false">IF($J70="","",IF($G70="Pago",$J70,IF($G70="Reembolsado",0,IF($G70="Parcelado",IFERROR($J70/$K70*$M70,0),0))))</f>
        <v/>
      </c>
      <c r="O70" s="72" t="str">
        <f aca="false">IF($J70="","",IF($G70="Reembolsado",0,$J70-$N70))</f>
        <v/>
      </c>
      <c r="P70" s="78"/>
    </row>
    <row r="71" customFormat="false" ht="18" hidden="false" customHeight="true" outlineLevel="0" collapsed="false">
      <c r="A71" s="74"/>
      <c r="B71" s="68"/>
      <c r="C71" s="68"/>
      <c r="D71" s="68"/>
      <c r="E71" s="68"/>
      <c r="F71" s="68"/>
      <c r="G71" s="70"/>
      <c r="H71" s="70"/>
      <c r="I71" s="71"/>
      <c r="J71" s="72" t="str">
        <f aca="false">IF($I71="","",IFERROR($I71*INDEX(TAXAS,MATCH($H71,MOEDAS,0)),""))</f>
        <v/>
      </c>
      <c r="K71" s="73"/>
      <c r="L71" s="74"/>
      <c r="M71" s="75" t="n">
        <f aca="true">IF($G71&lt;&gt;"Parcelado",0,IF(OR($K71="",$L71=""),0,MIN($K71,MAX(0,(YEAR(TODAY())-YEAR($L71))*12+(MONTH(TODAY())-MONTH($L71))+IF(DAY(TODAY())&gt;=DAY($L71),1,0)))))</f>
        <v>0</v>
      </c>
      <c r="N71" s="72" t="str">
        <f aca="false">IF($J71="","",IF($G71="Pago",$J71,IF($G71="Reembolsado",0,IF($G71="Parcelado",IFERROR($J71/$K71*$M71,0),0))))</f>
        <v/>
      </c>
      <c r="O71" s="72" t="str">
        <f aca="false">IF($J71="","",IF($G71="Reembolsado",0,$J71-$N71))</f>
        <v/>
      </c>
      <c r="P71" s="68"/>
    </row>
    <row r="72" customFormat="false" ht="18" hidden="false" customHeight="true" outlineLevel="0" collapsed="false">
      <c r="A72" s="77"/>
      <c r="B72" s="78"/>
      <c r="C72" s="78"/>
      <c r="D72" s="78"/>
      <c r="E72" s="78"/>
      <c r="F72" s="78"/>
      <c r="G72" s="79"/>
      <c r="H72" s="79"/>
      <c r="I72" s="80"/>
      <c r="J72" s="72" t="str">
        <f aca="false">IF($I72="","",IFERROR($I72*INDEX(TAXAS,MATCH($H72,MOEDAS,0)),""))</f>
        <v/>
      </c>
      <c r="K72" s="81"/>
      <c r="L72" s="77"/>
      <c r="M72" s="75" t="n">
        <f aca="true">IF($G72&lt;&gt;"Parcelado",0,IF(OR($K72="",$L72=""),0,MIN($K72,MAX(0,(YEAR(TODAY())-YEAR($L72))*12+(MONTH(TODAY())-MONTH($L72))+IF(DAY(TODAY())&gt;=DAY($L72),1,0)))))</f>
        <v>0</v>
      </c>
      <c r="N72" s="72" t="str">
        <f aca="false">IF($J72="","",IF($G72="Pago",$J72,IF($G72="Reembolsado",0,IF($G72="Parcelado",IFERROR($J72/$K72*$M72,0),0))))</f>
        <v/>
      </c>
      <c r="O72" s="72" t="str">
        <f aca="false">IF($J72="","",IF($G72="Reembolsado",0,$J72-$N72))</f>
        <v/>
      </c>
      <c r="P72" s="78"/>
    </row>
    <row r="73" customFormat="false" ht="18" hidden="false" customHeight="true" outlineLevel="0" collapsed="false">
      <c r="A73" s="74"/>
      <c r="B73" s="68"/>
      <c r="C73" s="68"/>
      <c r="D73" s="68"/>
      <c r="E73" s="68"/>
      <c r="F73" s="68"/>
      <c r="G73" s="70"/>
      <c r="H73" s="70"/>
      <c r="I73" s="71"/>
      <c r="J73" s="72" t="str">
        <f aca="false">IF($I73="","",IFERROR($I73*INDEX(TAXAS,MATCH($H73,MOEDAS,0)),""))</f>
        <v/>
      </c>
      <c r="K73" s="73"/>
      <c r="L73" s="74"/>
      <c r="M73" s="75" t="n">
        <f aca="true">IF($G73&lt;&gt;"Parcelado",0,IF(OR($K73="",$L73=""),0,MIN($K73,MAX(0,(YEAR(TODAY())-YEAR($L73))*12+(MONTH(TODAY())-MONTH($L73))+IF(DAY(TODAY())&gt;=DAY($L73),1,0)))))</f>
        <v>0</v>
      </c>
      <c r="N73" s="72" t="str">
        <f aca="false">IF($J73="","",IF($G73="Pago",$J73,IF($G73="Reembolsado",0,IF($G73="Parcelado",IFERROR($J73/$K73*$M73,0),0))))</f>
        <v/>
      </c>
      <c r="O73" s="72" t="str">
        <f aca="false">IF($J73="","",IF($G73="Reembolsado",0,$J73-$N73))</f>
        <v/>
      </c>
      <c r="P73" s="68"/>
    </row>
    <row r="74" customFormat="false" ht="18" hidden="false" customHeight="true" outlineLevel="0" collapsed="false">
      <c r="A74" s="77"/>
      <c r="B74" s="78"/>
      <c r="C74" s="78"/>
      <c r="D74" s="78"/>
      <c r="E74" s="78"/>
      <c r="F74" s="78"/>
      <c r="G74" s="79"/>
      <c r="H74" s="79"/>
      <c r="I74" s="80"/>
      <c r="J74" s="72" t="str">
        <f aca="false">IF($I74="","",IFERROR($I74*INDEX(TAXAS,MATCH($H74,MOEDAS,0)),""))</f>
        <v/>
      </c>
      <c r="K74" s="81"/>
      <c r="L74" s="77"/>
      <c r="M74" s="75" t="n">
        <f aca="true">IF($G74&lt;&gt;"Parcelado",0,IF(OR($K74="",$L74=""),0,MIN($K74,MAX(0,(YEAR(TODAY())-YEAR($L74))*12+(MONTH(TODAY())-MONTH($L74))+IF(DAY(TODAY())&gt;=DAY($L74),1,0)))))</f>
        <v>0</v>
      </c>
      <c r="N74" s="72" t="str">
        <f aca="false">IF($J74="","",IF($G74="Pago",$J74,IF($G74="Reembolsado",0,IF($G74="Parcelado",IFERROR($J74/$K74*$M74,0),0))))</f>
        <v/>
      </c>
      <c r="O74" s="72" t="str">
        <f aca="false">IF($J74="","",IF($G74="Reembolsado",0,$J74-$N74))</f>
        <v/>
      </c>
      <c r="P74" s="78"/>
    </row>
    <row r="75" customFormat="false" ht="18" hidden="false" customHeight="true" outlineLevel="0" collapsed="false">
      <c r="A75" s="74"/>
      <c r="B75" s="68"/>
      <c r="C75" s="68"/>
      <c r="D75" s="68"/>
      <c r="E75" s="68"/>
      <c r="F75" s="68"/>
      <c r="G75" s="70"/>
      <c r="H75" s="70"/>
      <c r="I75" s="71"/>
      <c r="J75" s="72" t="str">
        <f aca="false">IF($I75="","",IFERROR($I75*INDEX(TAXAS,MATCH($H75,MOEDAS,0)),""))</f>
        <v/>
      </c>
      <c r="K75" s="73"/>
      <c r="L75" s="74"/>
      <c r="M75" s="75" t="n">
        <f aca="true">IF($G75&lt;&gt;"Parcelado",0,IF(OR($K75="",$L75=""),0,MIN($K75,MAX(0,(YEAR(TODAY())-YEAR($L75))*12+(MONTH(TODAY())-MONTH($L75))+IF(DAY(TODAY())&gt;=DAY($L75),1,0)))))</f>
        <v>0</v>
      </c>
      <c r="N75" s="72" t="str">
        <f aca="false">IF($J75="","",IF($G75="Pago",$J75,IF($G75="Reembolsado",0,IF($G75="Parcelado",IFERROR($J75/$K75*$M75,0),0))))</f>
        <v/>
      </c>
      <c r="O75" s="72" t="str">
        <f aca="false">IF($J75="","",IF($G75="Reembolsado",0,$J75-$N75))</f>
        <v/>
      </c>
      <c r="P75" s="68"/>
    </row>
    <row r="76" customFormat="false" ht="18" hidden="false" customHeight="true" outlineLevel="0" collapsed="false">
      <c r="A76" s="77"/>
      <c r="B76" s="78"/>
      <c r="C76" s="78"/>
      <c r="D76" s="78"/>
      <c r="E76" s="78"/>
      <c r="F76" s="78"/>
      <c r="G76" s="79"/>
      <c r="H76" s="79"/>
      <c r="I76" s="80"/>
      <c r="J76" s="72" t="str">
        <f aca="false">IF($I76="","",IFERROR($I76*INDEX(TAXAS,MATCH($H76,MOEDAS,0)),""))</f>
        <v/>
      </c>
      <c r="K76" s="81"/>
      <c r="L76" s="77"/>
      <c r="M76" s="75" t="n">
        <f aca="true">IF($G76&lt;&gt;"Parcelado",0,IF(OR($K76="",$L76=""),0,MIN($K76,MAX(0,(YEAR(TODAY())-YEAR($L76))*12+(MONTH(TODAY())-MONTH($L76))+IF(DAY(TODAY())&gt;=DAY($L76),1,0)))))</f>
        <v>0</v>
      </c>
      <c r="N76" s="72" t="str">
        <f aca="false">IF($J76="","",IF($G76="Pago",$J76,IF($G76="Reembolsado",0,IF($G76="Parcelado",IFERROR($J76/$K76*$M76,0),0))))</f>
        <v/>
      </c>
      <c r="O76" s="72" t="str">
        <f aca="false">IF($J76="","",IF($G76="Reembolsado",0,$J76-$N76))</f>
        <v/>
      </c>
      <c r="P76" s="78"/>
    </row>
    <row r="77" customFormat="false" ht="18" hidden="false" customHeight="true" outlineLevel="0" collapsed="false">
      <c r="A77" s="74"/>
      <c r="B77" s="68"/>
      <c r="C77" s="68"/>
      <c r="D77" s="68"/>
      <c r="E77" s="68"/>
      <c r="F77" s="68"/>
      <c r="G77" s="70"/>
      <c r="H77" s="70"/>
      <c r="I77" s="71"/>
      <c r="J77" s="72" t="str">
        <f aca="false">IF($I77="","",IFERROR($I77*INDEX(TAXAS,MATCH($H77,MOEDAS,0)),""))</f>
        <v/>
      </c>
      <c r="K77" s="73"/>
      <c r="L77" s="74"/>
      <c r="M77" s="75" t="n">
        <f aca="true">IF($G77&lt;&gt;"Parcelado",0,IF(OR($K77="",$L77=""),0,MIN($K77,MAX(0,(YEAR(TODAY())-YEAR($L77))*12+(MONTH(TODAY())-MONTH($L77))+IF(DAY(TODAY())&gt;=DAY($L77),1,0)))))</f>
        <v>0</v>
      </c>
      <c r="N77" s="72" t="str">
        <f aca="false">IF($J77="","",IF($G77="Pago",$J77,IF($G77="Reembolsado",0,IF($G77="Parcelado",IFERROR($J77/$K77*$M77,0),0))))</f>
        <v/>
      </c>
      <c r="O77" s="72" t="str">
        <f aca="false">IF($J77="","",IF($G77="Reembolsado",0,$J77-$N77))</f>
        <v/>
      </c>
      <c r="P77" s="68"/>
    </row>
    <row r="78" customFormat="false" ht="18" hidden="false" customHeight="true" outlineLevel="0" collapsed="false">
      <c r="A78" s="77"/>
      <c r="B78" s="78"/>
      <c r="C78" s="78"/>
      <c r="D78" s="78"/>
      <c r="E78" s="78"/>
      <c r="F78" s="78"/>
      <c r="G78" s="79"/>
      <c r="H78" s="79"/>
      <c r="I78" s="80"/>
      <c r="J78" s="72" t="str">
        <f aca="false">IF($I78="","",IFERROR($I78*INDEX(TAXAS,MATCH($H78,MOEDAS,0)),""))</f>
        <v/>
      </c>
      <c r="K78" s="81"/>
      <c r="L78" s="77"/>
      <c r="M78" s="75" t="n">
        <f aca="true">IF($G78&lt;&gt;"Parcelado",0,IF(OR($K78="",$L78=""),0,MIN($K78,MAX(0,(YEAR(TODAY())-YEAR($L78))*12+(MONTH(TODAY())-MONTH($L78))+IF(DAY(TODAY())&gt;=DAY($L78),1,0)))))</f>
        <v>0</v>
      </c>
      <c r="N78" s="72" t="str">
        <f aca="false">IF($J78="","",IF($G78="Pago",$J78,IF($G78="Reembolsado",0,IF($G78="Parcelado",IFERROR($J78/$K78*$M78,0),0))))</f>
        <v/>
      </c>
      <c r="O78" s="72" t="str">
        <f aca="false">IF($J78="","",IF($G78="Reembolsado",0,$J78-$N78))</f>
        <v/>
      </c>
      <c r="P78" s="78"/>
    </row>
    <row r="79" customFormat="false" ht="18" hidden="false" customHeight="true" outlineLevel="0" collapsed="false">
      <c r="A79" s="74"/>
      <c r="B79" s="68"/>
      <c r="C79" s="68"/>
      <c r="D79" s="68"/>
      <c r="E79" s="68"/>
      <c r="F79" s="68"/>
      <c r="G79" s="70"/>
      <c r="H79" s="70"/>
      <c r="I79" s="71"/>
      <c r="J79" s="72" t="str">
        <f aca="false">IF($I79="","",IFERROR($I79*INDEX(TAXAS,MATCH($H79,MOEDAS,0)),""))</f>
        <v/>
      </c>
      <c r="K79" s="73"/>
      <c r="L79" s="74"/>
      <c r="M79" s="75" t="n">
        <f aca="true">IF($G79&lt;&gt;"Parcelado",0,IF(OR($K79="",$L79=""),0,MIN($K79,MAX(0,(YEAR(TODAY())-YEAR($L79))*12+(MONTH(TODAY())-MONTH($L79))+IF(DAY(TODAY())&gt;=DAY($L79),1,0)))))</f>
        <v>0</v>
      </c>
      <c r="N79" s="72" t="str">
        <f aca="false">IF($J79="","",IF($G79="Pago",$J79,IF($G79="Reembolsado",0,IF($G79="Parcelado",IFERROR($J79/$K79*$M79,0),0))))</f>
        <v/>
      </c>
      <c r="O79" s="72" t="str">
        <f aca="false">IF($J79="","",IF($G79="Reembolsado",0,$J79-$N79))</f>
        <v/>
      </c>
      <c r="P79" s="68"/>
    </row>
    <row r="80" customFormat="false" ht="18" hidden="false" customHeight="true" outlineLevel="0" collapsed="false">
      <c r="A80" s="77"/>
      <c r="B80" s="78"/>
      <c r="C80" s="78"/>
      <c r="D80" s="78"/>
      <c r="E80" s="78"/>
      <c r="F80" s="78"/>
      <c r="G80" s="79"/>
      <c r="H80" s="79"/>
      <c r="I80" s="80"/>
      <c r="J80" s="72" t="str">
        <f aca="false">IF($I80="","",IFERROR($I80*INDEX(TAXAS,MATCH($H80,MOEDAS,0)),""))</f>
        <v/>
      </c>
      <c r="K80" s="81"/>
      <c r="L80" s="77"/>
      <c r="M80" s="75" t="n">
        <f aca="true">IF($G80&lt;&gt;"Parcelado",0,IF(OR($K80="",$L80=""),0,MIN($K80,MAX(0,(YEAR(TODAY())-YEAR($L80))*12+(MONTH(TODAY())-MONTH($L80))+IF(DAY(TODAY())&gt;=DAY($L80),1,0)))))</f>
        <v>0</v>
      </c>
      <c r="N80" s="72" t="str">
        <f aca="false">IF($J80="","",IF($G80="Pago",$J80,IF($G80="Reembolsado",0,IF($G80="Parcelado",IFERROR($J80/$K80*$M80,0),0))))</f>
        <v/>
      </c>
      <c r="O80" s="72" t="str">
        <f aca="false">IF($J80="","",IF($G80="Reembolsado",0,$J80-$N80))</f>
        <v/>
      </c>
      <c r="P80" s="78"/>
    </row>
    <row r="81" customFormat="false" ht="18" hidden="false" customHeight="true" outlineLevel="0" collapsed="false">
      <c r="A81" s="74"/>
      <c r="B81" s="68"/>
      <c r="C81" s="68"/>
      <c r="D81" s="68"/>
      <c r="E81" s="68"/>
      <c r="F81" s="68"/>
      <c r="G81" s="70"/>
      <c r="H81" s="70"/>
      <c r="I81" s="71"/>
      <c r="J81" s="72" t="str">
        <f aca="false">IF($I81="","",IFERROR($I81*INDEX(TAXAS,MATCH($H81,MOEDAS,0)),""))</f>
        <v/>
      </c>
      <c r="K81" s="73"/>
      <c r="L81" s="74"/>
      <c r="M81" s="75" t="n">
        <f aca="true">IF($G81&lt;&gt;"Parcelado",0,IF(OR($K81="",$L81=""),0,MIN($K81,MAX(0,(YEAR(TODAY())-YEAR($L81))*12+(MONTH(TODAY())-MONTH($L81))+IF(DAY(TODAY())&gt;=DAY($L81),1,0)))))</f>
        <v>0</v>
      </c>
      <c r="N81" s="72" t="str">
        <f aca="false">IF($J81="","",IF($G81="Pago",$J81,IF($G81="Reembolsado",0,IF($G81="Parcelado",IFERROR($J81/$K81*$M81,0),0))))</f>
        <v/>
      </c>
      <c r="O81" s="72" t="str">
        <f aca="false">IF($J81="","",IF($G81="Reembolsado",0,$J81-$N81))</f>
        <v/>
      </c>
      <c r="P81" s="68"/>
    </row>
    <row r="82" customFormat="false" ht="18" hidden="false" customHeight="true" outlineLevel="0" collapsed="false">
      <c r="A82" s="77"/>
      <c r="B82" s="78"/>
      <c r="C82" s="78"/>
      <c r="D82" s="78"/>
      <c r="E82" s="78"/>
      <c r="F82" s="78"/>
      <c r="G82" s="79"/>
      <c r="H82" s="79"/>
      <c r="I82" s="80"/>
      <c r="J82" s="72" t="str">
        <f aca="false">IF($I82="","",IFERROR($I82*INDEX(TAXAS,MATCH($H82,MOEDAS,0)),""))</f>
        <v/>
      </c>
      <c r="K82" s="81"/>
      <c r="L82" s="77"/>
      <c r="M82" s="75" t="n">
        <f aca="true">IF($G82&lt;&gt;"Parcelado",0,IF(OR($K82="",$L82=""),0,MIN($K82,MAX(0,(YEAR(TODAY())-YEAR($L82))*12+(MONTH(TODAY())-MONTH($L82))+IF(DAY(TODAY())&gt;=DAY($L82),1,0)))))</f>
        <v>0</v>
      </c>
      <c r="N82" s="72" t="str">
        <f aca="false">IF($J82="","",IF($G82="Pago",$J82,IF($G82="Reembolsado",0,IF($G82="Parcelado",IFERROR($J82/$K82*$M82,0),0))))</f>
        <v/>
      </c>
      <c r="O82" s="72" t="str">
        <f aca="false">IF($J82="","",IF($G82="Reembolsado",0,$J82-$N82))</f>
        <v/>
      </c>
      <c r="P82" s="78"/>
    </row>
    <row r="83" customFormat="false" ht="18" hidden="false" customHeight="true" outlineLevel="0" collapsed="false">
      <c r="A83" s="74"/>
      <c r="B83" s="68"/>
      <c r="C83" s="68"/>
      <c r="D83" s="68"/>
      <c r="E83" s="68"/>
      <c r="F83" s="68"/>
      <c r="G83" s="70"/>
      <c r="H83" s="70"/>
      <c r="I83" s="71"/>
      <c r="J83" s="72" t="str">
        <f aca="false">IF($I83="","",IFERROR($I83*INDEX(TAXAS,MATCH($H83,MOEDAS,0)),""))</f>
        <v/>
      </c>
      <c r="K83" s="73"/>
      <c r="L83" s="74"/>
      <c r="M83" s="75" t="n">
        <f aca="true">IF($G83&lt;&gt;"Parcelado",0,IF(OR($K83="",$L83=""),0,MIN($K83,MAX(0,(YEAR(TODAY())-YEAR($L83))*12+(MONTH(TODAY())-MONTH($L83))+IF(DAY(TODAY())&gt;=DAY($L83),1,0)))))</f>
        <v>0</v>
      </c>
      <c r="N83" s="72" t="str">
        <f aca="false">IF($J83="","",IF($G83="Pago",$J83,IF($G83="Reembolsado",0,IF($G83="Parcelado",IFERROR($J83/$K83*$M83,0),0))))</f>
        <v/>
      </c>
      <c r="O83" s="72" t="str">
        <f aca="false">IF($J83="","",IF($G83="Reembolsado",0,$J83-$N83))</f>
        <v/>
      </c>
      <c r="P83" s="68"/>
    </row>
    <row r="84" customFormat="false" ht="18" hidden="false" customHeight="true" outlineLevel="0" collapsed="false">
      <c r="A84" s="77"/>
      <c r="B84" s="78"/>
      <c r="C84" s="78"/>
      <c r="D84" s="78"/>
      <c r="E84" s="78"/>
      <c r="F84" s="78"/>
      <c r="G84" s="79"/>
      <c r="H84" s="79"/>
      <c r="I84" s="80"/>
      <c r="J84" s="72" t="str">
        <f aca="false">IF($I84="","",IFERROR($I84*INDEX(TAXAS,MATCH($H84,MOEDAS,0)),""))</f>
        <v/>
      </c>
      <c r="K84" s="81"/>
      <c r="L84" s="77"/>
      <c r="M84" s="75" t="n">
        <f aca="true">IF($G84&lt;&gt;"Parcelado",0,IF(OR($K84="",$L84=""),0,MIN($K84,MAX(0,(YEAR(TODAY())-YEAR($L84))*12+(MONTH(TODAY())-MONTH($L84))+IF(DAY(TODAY())&gt;=DAY($L84),1,0)))))</f>
        <v>0</v>
      </c>
      <c r="N84" s="72" t="str">
        <f aca="false">IF($J84="","",IF($G84="Pago",$J84,IF($G84="Reembolsado",0,IF($G84="Parcelado",IFERROR($J84/$K84*$M84,0),0))))</f>
        <v/>
      </c>
      <c r="O84" s="72" t="str">
        <f aca="false">IF($J84="","",IF($G84="Reembolsado",0,$J84-$N84))</f>
        <v/>
      </c>
      <c r="P84" s="78"/>
    </row>
    <row r="85" customFormat="false" ht="18" hidden="false" customHeight="true" outlineLevel="0" collapsed="false">
      <c r="A85" s="74"/>
      <c r="B85" s="68"/>
      <c r="C85" s="68"/>
      <c r="D85" s="68"/>
      <c r="E85" s="68"/>
      <c r="F85" s="68"/>
      <c r="G85" s="70"/>
      <c r="H85" s="70"/>
      <c r="I85" s="71"/>
      <c r="J85" s="72" t="str">
        <f aca="false">IF($I85="","",IFERROR($I85*INDEX(TAXAS,MATCH($H85,MOEDAS,0)),""))</f>
        <v/>
      </c>
      <c r="K85" s="73"/>
      <c r="L85" s="74"/>
      <c r="M85" s="75" t="n">
        <f aca="true">IF($G85&lt;&gt;"Parcelado",0,IF(OR($K85="",$L85=""),0,MIN($K85,MAX(0,(YEAR(TODAY())-YEAR($L85))*12+(MONTH(TODAY())-MONTH($L85))+IF(DAY(TODAY())&gt;=DAY($L85),1,0)))))</f>
        <v>0</v>
      </c>
      <c r="N85" s="72" t="str">
        <f aca="false">IF($J85="","",IF($G85="Pago",$J85,IF($G85="Reembolsado",0,IF($G85="Parcelado",IFERROR($J85/$K85*$M85,0),0))))</f>
        <v/>
      </c>
      <c r="O85" s="72" t="str">
        <f aca="false">IF($J85="","",IF($G85="Reembolsado",0,$J85-$N85))</f>
        <v/>
      </c>
      <c r="P85" s="68"/>
    </row>
    <row r="86" customFormat="false" ht="18" hidden="false" customHeight="true" outlineLevel="0" collapsed="false">
      <c r="A86" s="77"/>
      <c r="B86" s="78"/>
      <c r="C86" s="78"/>
      <c r="D86" s="78"/>
      <c r="E86" s="78"/>
      <c r="F86" s="78"/>
      <c r="G86" s="79"/>
      <c r="H86" s="79"/>
      <c r="I86" s="80"/>
      <c r="J86" s="72" t="str">
        <f aca="false">IF($I86="","",IFERROR($I86*INDEX(TAXAS,MATCH($H86,MOEDAS,0)),""))</f>
        <v/>
      </c>
      <c r="K86" s="81"/>
      <c r="L86" s="77"/>
      <c r="M86" s="75" t="n">
        <f aca="true">IF($G86&lt;&gt;"Parcelado",0,IF(OR($K86="",$L86=""),0,MIN($K86,MAX(0,(YEAR(TODAY())-YEAR($L86))*12+(MONTH(TODAY())-MONTH($L86))+IF(DAY(TODAY())&gt;=DAY($L86),1,0)))))</f>
        <v>0</v>
      </c>
      <c r="N86" s="72" t="str">
        <f aca="false">IF($J86="","",IF($G86="Pago",$J86,IF($G86="Reembolsado",0,IF($G86="Parcelado",IFERROR($J86/$K86*$M86,0),0))))</f>
        <v/>
      </c>
      <c r="O86" s="72" t="str">
        <f aca="false">IF($J86="","",IF($G86="Reembolsado",0,$J86-$N86))</f>
        <v/>
      </c>
      <c r="P86" s="78"/>
    </row>
    <row r="87" customFormat="false" ht="18" hidden="false" customHeight="true" outlineLevel="0" collapsed="false">
      <c r="A87" s="74"/>
      <c r="B87" s="68"/>
      <c r="C87" s="68"/>
      <c r="D87" s="68"/>
      <c r="E87" s="68"/>
      <c r="F87" s="68"/>
      <c r="G87" s="70"/>
      <c r="H87" s="70"/>
      <c r="I87" s="71"/>
      <c r="J87" s="72" t="str">
        <f aca="false">IF($I87="","",IFERROR($I87*INDEX(TAXAS,MATCH($H87,MOEDAS,0)),""))</f>
        <v/>
      </c>
      <c r="K87" s="73"/>
      <c r="L87" s="74"/>
      <c r="M87" s="75" t="n">
        <f aca="true">IF($G87&lt;&gt;"Parcelado",0,IF(OR($K87="",$L87=""),0,MIN($K87,MAX(0,(YEAR(TODAY())-YEAR($L87))*12+(MONTH(TODAY())-MONTH($L87))+IF(DAY(TODAY())&gt;=DAY($L87),1,0)))))</f>
        <v>0</v>
      </c>
      <c r="N87" s="72" t="str">
        <f aca="false">IF($J87="","",IF($G87="Pago",$J87,IF($G87="Reembolsado",0,IF($G87="Parcelado",IFERROR($J87/$K87*$M87,0),0))))</f>
        <v/>
      </c>
      <c r="O87" s="72" t="str">
        <f aca="false">IF($J87="","",IF($G87="Reembolsado",0,$J87-$N87))</f>
        <v/>
      </c>
      <c r="P87" s="68"/>
    </row>
    <row r="88" customFormat="false" ht="18" hidden="false" customHeight="true" outlineLevel="0" collapsed="false">
      <c r="A88" s="77"/>
      <c r="B88" s="78"/>
      <c r="C88" s="78"/>
      <c r="D88" s="78"/>
      <c r="E88" s="78"/>
      <c r="F88" s="78"/>
      <c r="G88" s="79"/>
      <c r="H88" s="79"/>
      <c r="I88" s="80"/>
      <c r="J88" s="72" t="str">
        <f aca="false">IF($I88="","",IFERROR($I88*INDEX(TAXAS,MATCH($H88,MOEDAS,0)),""))</f>
        <v/>
      </c>
      <c r="K88" s="81"/>
      <c r="L88" s="77"/>
      <c r="M88" s="75" t="n">
        <f aca="true">IF($G88&lt;&gt;"Parcelado",0,IF(OR($K88="",$L88=""),0,MIN($K88,MAX(0,(YEAR(TODAY())-YEAR($L88))*12+(MONTH(TODAY())-MONTH($L88))+IF(DAY(TODAY())&gt;=DAY($L88),1,0)))))</f>
        <v>0</v>
      </c>
      <c r="N88" s="72" t="str">
        <f aca="false">IF($J88="","",IF($G88="Pago",$J88,IF($G88="Reembolsado",0,IF($G88="Parcelado",IFERROR($J88/$K88*$M88,0),0))))</f>
        <v/>
      </c>
      <c r="O88" s="72" t="str">
        <f aca="false">IF($J88="","",IF($G88="Reembolsado",0,$J88-$N88))</f>
        <v/>
      </c>
      <c r="P88" s="78"/>
    </row>
    <row r="89" customFormat="false" ht="18" hidden="false" customHeight="true" outlineLevel="0" collapsed="false">
      <c r="A89" s="74"/>
      <c r="B89" s="68"/>
      <c r="C89" s="68"/>
      <c r="D89" s="68"/>
      <c r="E89" s="68"/>
      <c r="F89" s="68"/>
      <c r="G89" s="70"/>
      <c r="H89" s="70"/>
      <c r="I89" s="71"/>
      <c r="J89" s="72" t="str">
        <f aca="false">IF($I89="","",IFERROR($I89*INDEX(TAXAS,MATCH($H89,MOEDAS,0)),""))</f>
        <v/>
      </c>
      <c r="K89" s="73"/>
      <c r="L89" s="74"/>
      <c r="M89" s="75" t="n">
        <f aca="true">IF($G89&lt;&gt;"Parcelado",0,IF(OR($K89="",$L89=""),0,MIN($K89,MAX(0,(YEAR(TODAY())-YEAR($L89))*12+(MONTH(TODAY())-MONTH($L89))+IF(DAY(TODAY())&gt;=DAY($L89),1,0)))))</f>
        <v>0</v>
      </c>
      <c r="N89" s="72" t="str">
        <f aca="false">IF($J89="","",IF($G89="Pago",$J89,IF($G89="Reembolsado",0,IF($G89="Parcelado",IFERROR($J89/$K89*$M89,0),0))))</f>
        <v/>
      </c>
      <c r="O89" s="72" t="str">
        <f aca="false">IF($J89="","",IF($G89="Reembolsado",0,$J89-$N89))</f>
        <v/>
      </c>
      <c r="P89" s="68"/>
    </row>
    <row r="90" customFormat="false" ht="18" hidden="false" customHeight="true" outlineLevel="0" collapsed="false">
      <c r="A90" s="77"/>
      <c r="B90" s="78"/>
      <c r="C90" s="78"/>
      <c r="D90" s="78"/>
      <c r="E90" s="78"/>
      <c r="F90" s="78"/>
      <c r="G90" s="79"/>
      <c r="H90" s="79"/>
      <c r="I90" s="80"/>
      <c r="J90" s="72" t="str">
        <f aca="false">IF($I90="","",IFERROR($I90*INDEX(TAXAS,MATCH($H90,MOEDAS,0)),""))</f>
        <v/>
      </c>
      <c r="K90" s="81"/>
      <c r="L90" s="77"/>
      <c r="M90" s="75" t="n">
        <f aca="true">IF($G90&lt;&gt;"Parcelado",0,IF(OR($K90="",$L90=""),0,MIN($K90,MAX(0,(YEAR(TODAY())-YEAR($L90))*12+(MONTH(TODAY())-MONTH($L90))+IF(DAY(TODAY())&gt;=DAY($L90),1,0)))))</f>
        <v>0</v>
      </c>
      <c r="N90" s="72" t="str">
        <f aca="false">IF($J90="","",IF($G90="Pago",$J90,IF($G90="Reembolsado",0,IF($G90="Parcelado",IFERROR($J90/$K90*$M90,0),0))))</f>
        <v/>
      </c>
      <c r="O90" s="72" t="str">
        <f aca="false">IF($J90="","",IF($G90="Reembolsado",0,$J90-$N90))</f>
        <v/>
      </c>
      <c r="P90" s="78"/>
    </row>
    <row r="91" customFormat="false" ht="18" hidden="false" customHeight="true" outlineLevel="0" collapsed="false">
      <c r="A91" s="74"/>
      <c r="B91" s="68"/>
      <c r="C91" s="68"/>
      <c r="D91" s="68"/>
      <c r="E91" s="68"/>
      <c r="F91" s="68"/>
      <c r="G91" s="70"/>
      <c r="H91" s="70"/>
      <c r="I91" s="71"/>
      <c r="J91" s="72" t="str">
        <f aca="false">IF($I91="","",IFERROR($I91*INDEX(TAXAS,MATCH($H91,MOEDAS,0)),""))</f>
        <v/>
      </c>
      <c r="K91" s="73"/>
      <c r="L91" s="74"/>
      <c r="M91" s="75" t="n">
        <f aca="true">IF($G91&lt;&gt;"Parcelado",0,IF(OR($K91="",$L91=""),0,MIN($K91,MAX(0,(YEAR(TODAY())-YEAR($L91))*12+(MONTH(TODAY())-MONTH($L91))+IF(DAY(TODAY())&gt;=DAY($L91),1,0)))))</f>
        <v>0</v>
      </c>
      <c r="N91" s="72" t="str">
        <f aca="false">IF($J91="","",IF($G91="Pago",$J91,IF($G91="Reembolsado",0,IF($G91="Parcelado",IFERROR($J91/$K91*$M91,0),0))))</f>
        <v/>
      </c>
      <c r="O91" s="72" t="str">
        <f aca="false">IF($J91="","",IF($G91="Reembolsado",0,$J91-$N91))</f>
        <v/>
      </c>
      <c r="P91" s="68"/>
    </row>
    <row r="92" customFormat="false" ht="18" hidden="false" customHeight="true" outlineLevel="0" collapsed="false">
      <c r="A92" s="77"/>
      <c r="B92" s="78"/>
      <c r="C92" s="78"/>
      <c r="D92" s="78"/>
      <c r="E92" s="78"/>
      <c r="F92" s="78"/>
      <c r="G92" s="79"/>
      <c r="H92" s="79"/>
      <c r="I92" s="80"/>
      <c r="J92" s="72" t="str">
        <f aca="false">IF($I92="","",IFERROR($I92*INDEX(TAXAS,MATCH($H92,MOEDAS,0)),""))</f>
        <v/>
      </c>
      <c r="K92" s="81"/>
      <c r="L92" s="77"/>
      <c r="M92" s="75" t="n">
        <f aca="true">IF($G92&lt;&gt;"Parcelado",0,IF(OR($K92="",$L92=""),0,MIN($K92,MAX(0,(YEAR(TODAY())-YEAR($L92))*12+(MONTH(TODAY())-MONTH($L92))+IF(DAY(TODAY())&gt;=DAY($L92),1,0)))))</f>
        <v>0</v>
      </c>
      <c r="N92" s="72" t="str">
        <f aca="false">IF($J92="","",IF($G92="Pago",$J92,IF($G92="Reembolsado",0,IF($G92="Parcelado",IFERROR($J92/$K92*$M92,0),0))))</f>
        <v/>
      </c>
      <c r="O92" s="72" t="str">
        <f aca="false">IF($J92="","",IF($G92="Reembolsado",0,$J92-$N92))</f>
        <v/>
      </c>
      <c r="P92" s="78"/>
    </row>
    <row r="93" customFormat="false" ht="18" hidden="false" customHeight="true" outlineLevel="0" collapsed="false">
      <c r="A93" s="74"/>
      <c r="B93" s="68"/>
      <c r="C93" s="68"/>
      <c r="D93" s="68"/>
      <c r="E93" s="68"/>
      <c r="F93" s="68"/>
      <c r="G93" s="70"/>
      <c r="H93" s="70"/>
      <c r="I93" s="71"/>
      <c r="J93" s="72" t="str">
        <f aca="false">IF($I93="","",IFERROR($I93*INDEX(TAXAS,MATCH($H93,MOEDAS,0)),""))</f>
        <v/>
      </c>
      <c r="K93" s="73"/>
      <c r="L93" s="74"/>
      <c r="M93" s="75" t="n">
        <f aca="true">IF($G93&lt;&gt;"Parcelado",0,IF(OR($K93="",$L93=""),0,MIN($K93,MAX(0,(YEAR(TODAY())-YEAR($L93))*12+(MONTH(TODAY())-MONTH($L93))+IF(DAY(TODAY())&gt;=DAY($L93),1,0)))))</f>
        <v>0</v>
      </c>
      <c r="N93" s="72" t="str">
        <f aca="false">IF($J93="","",IF($G93="Pago",$J93,IF($G93="Reembolsado",0,IF($G93="Parcelado",IFERROR($J93/$K93*$M93,0),0))))</f>
        <v/>
      </c>
      <c r="O93" s="72" t="str">
        <f aca="false">IF($J93="","",IF($G93="Reembolsado",0,$J93-$N93))</f>
        <v/>
      </c>
      <c r="P93" s="68"/>
    </row>
    <row r="94" customFormat="false" ht="18" hidden="false" customHeight="true" outlineLevel="0" collapsed="false">
      <c r="A94" s="77"/>
      <c r="B94" s="78"/>
      <c r="C94" s="78"/>
      <c r="D94" s="78"/>
      <c r="E94" s="78"/>
      <c r="F94" s="78"/>
      <c r="G94" s="79"/>
      <c r="H94" s="79"/>
      <c r="I94" s="80"/>
      <c r="J94" s="72" t="str">
        <f aca="false">IF($I94="","",IFERROR($I94*INDEX(TAXAS,MATCH($H94,MOEDAS,0)),""))</f>
        <v/>
      </c>
      <c r="K94" s="81"/>
      <c r="L94" s="77"/>
      <c r="M94" s="75" t="n">
        <f aca="true">IF($G94&lt;&gt;"Parcelado",0,IF(OR($K94="",$L94=""),0,MIN($K94,MAX(0,(YEAR(TODAY())-YEAR($L94))*12+(MONTH(TODAY())-MONTH($L94))+IF(DAY(TODAY())&gt;=DAY($L94),1,0)))))</f>
        <v>0</v>
      </c>
      <c r="N94" s="72" t="str">
        <f aca="false">IF($J94="","",IF($G94="Pago",$J94,IF($G94="Reembolsado",0,IF($G94="Parcelado",IFERROR($J94/$K94*$M94,0),0))))</f>
        <v/>
      </c>
      <c r="O94" s="72" t="str">
        <f aca="false">IF($J94="","",IF($G94="Reembolsado",0,$J94-$N94))</f>
        <v/>
      </c>
      <c r="P94" s="78"/>
    </row>
    <row r="95" customFormat="false" ht="18" hidden="false" customHeight="true" outlineLevel="0" collapsed="false">
      <c r="A95" s="74"/>
      <c r="B95" s="68"/>
      <c r="C95" s="68"/>
      <c r="D95" s="68"/>
      <c r="E95" s="68"/>
      <c r="F95" s="68"/>
      <c r="G95" s="70"/>
      <c r="H95" s="70"/>
      <c r="I95" s="71"/>
      <c r="J95" s="72" t="str">
        <f aca="false">IF($I95="","",IFERROR($I95*INDEX(TAXAS,MATCH($H95,MOEDAS,0)),""))</f>
        <v/>
      </c>
      <c r="K95" s="73"/>
      <c r="L95" s="74"/>
      <c r="M95" s="75" t="n">
        <f aca="true">IF($G95&lt;&gt;"Parcelado",0,IF(OR($K95="",$L95=""),0,MIN($K95,MAX(0,(YEAR(TODAY())-YEAR($L95))*12+(MONTH(TODAY())-MONTH($L95))+IF(DAY(TODAY())&gt;=DAY($L95),1,0)))))</f>
        <v>0</v>
      </c>
      <c r="N95" s="72" t="str">
        <f aca="false">IF($J95="","",IF($G95="Pago",$J95,IF($G95="Reembolsado",0,IF($G95="Parcelado",IFERROR($J95/$K95*$M95,0),0))))</f>
        <v/>
      </c>
      <c r="O95" s="72" t="str">
        <f aca="false">IF($J95="","",IF($G95="Reembolsado",0,$J95-$N95))</f>
        <v/>
      </c>
      <c r="P95" s="68"/>
    </row>
    <row r="96" customFormat="false" ht="18" hidden="false" customHeight="true" outlineLevel="0" collapsed="false">
      <c r="A96" s="77"/>
      <c r="B96" s="78"/>
      <c r="C96" s="78"/>
      <c r="D96" s="78"/>
      <c r="E96" s="78"/>
      <c r="F96" s="78"/>
      <c r="G96" s="79"/>
      <c r="H96" s="79"/>
      <c r="I96" s="80"/>
      <c r="J96" s="72" t="str">
        <f aca="false">IF($I96="","",IFERROR($I96*INDEX(TAXAS,MATCH($H96,MOEDAS,0)),""))</f>
        <v/>
      </c>
      <c r="K96" s="81"/>
      <c r="L96" s="77"/>
      <c r="M96" s="75" t="n">
        <f aca="true">IF($G96&lt;&gt;"Parcelado",0,IF(OR($K96="",$L96=""),0,MIN($K96,MAX(0,(YEAR(TODAY())-YEAR($L96))*12+(MONTH(TODAY())-MONTH($L96))+IF(DAY(TODAY())&gt;=DAY($L96),1,0)))))</f>
        <v>0</v>
      </c>
      <c r="N96" s="72" t="str">
        <f aca="false">IF($J96="","",IF($G96="Pago",$J96,IF($G96="Reembolsado",0,IF($G96="Parcelado",IFERROR($J96/$K96*$M96,0),0))))</f>
        <v/>
      </c>
      <c r="O96" s="72" t="str">
        <f aca="false">IF($J96="","",IF($G96="Reembolsado",0,$J96-$N96))</f>
        <v/>
      </c>
      <c r="P96" s="78"/>
    </row>
    <row r="97" customFormat="false" ht="18" hidden="false" customHeight="true" outlineLevel="0" collapsed="false">
      <c r="A97" s="74"/>
      <c r="B97" s="68"/>
      <c r="C97" s="68"/>
      <c r="D97" s="68"/>
      <c r="E97" s="68"/>
      <c r="F97" s="68"/>
      <c r="G97" s="70"/>
      <c r="H97" s="70"/>
      <c r="I97" s="71"/>
      <c r="J97" s="72" t="str">
        <f aca="false">IF($I97="","",IFERROR($I97*INDEX(TAXAS,MATCH($H97,MOEDAS,0)),""))</f>
        <v/>
      </c>
      <c r="K97" s="73"/>
      <c r="L97" s="74"/>
      <c r="M97" s="75" t="n">
        <f aca="true">IF($G97&lt;&gt;"Parcelado",0,IF(OR($K97="",$L97=""),0,MIN($K97,MAX(0,(YEAR(TODAY())-YEAR($L97))*12+(MONTH(TODAY())-MONTH($L97))+IF(DAY(TODAY())&gt;=DAY($L97),1,0)))))</f>
        <v>0</v>
      </c>
      <c r="N97" s="72" t="str">
        <f aca="false">IF($J97="","",IF($G97="Pago",$J97,IF($G97="Reembolsado",0,IF($G97="Parcelado",IFERROR($J97/$K97*$M97,0),0))))</f>
        <v/>
      </c>
      <c r="O97" s="72" t="str">
        <f aca="false">IF($J97="","",IF($G97="Reembolsado",0,$J97-$N97))</f>
        <v/>
      </c>
      <c r="P97" s="68"/>
    </row>
    <row r="98" customFormat="false" ht="18" hidden="false" customHeight="true" outlineLevel="0" collapsed="false">
      <c r="A98" s="77"/>
      <c r="B98" s="78"/>
      <c r="C98" s="78"/>
      <c r="D98" s="78"/>
      <c r="E98" s="78"/>
      <c r="F98" s="78"/>
      <c r="G98" s="79"/>
      <c r="H98" s="79"/>
      <c r="I98" s="80"/>
      <c r="J98" s="72" t="str">
        <f aca="false">IF($I98="","",IFERROR($I98*INDEX(TAXAS,MATCH($H98,MOEDAS,0)),""))</f>
        <v/>
      </c>
      <c r="K98" s="81"/>
      <c r="L98" s="77"/>
      <c r="M98" s="75" t="n">
        <f aca="true">IF($G98&lt;&gt;"Parcelado",0,IF(OR($K98="",$L98=""),0,MIN($K98,MAX(0,(YEAR(TODAY())-YEAR($L98))*12+(MONTH(TODAY())-MONTH($L98))+IF(DAY(TODAY())&gt;=DAY($L98),1,0)))))</f>
        <v>0</v>
      </c>
      <c r="N98" s="72" t="str">
        <f aca="false">IF($J98="","",IF($G98="Pago",$J98,IF($G98="Reembolsado",0,IF($G98="Parcelado",IFERROR($J98/$K98*$M98,0),0))))</f>
        <v/>
      </c>
      <c r="O98" s="72" t="str">
        <f aca="false">IF($J98="","",IF($G98="Reembolsado",0,$J98-$N98))</f>
        <v/>
      </c>
      <c r="P98" s="78"/>
    </row>
    <row r="99" customFormat="false" ht="18" hidden="false" customHeight="true" outlineLevel="0" collapsed="false">
      <c r="A99" s="74"/>
      <c r="B99" s="68"/>
      <c r="C99" s="68"/>
      <c r="D99" s="68"/>
      <c r="E99" s="68"/>
      <c r="F99" s="68"/>
      <c r="G99" s="70"/>
      <c r="H99" s="70"/>
      <c r="I99" s="71"/>
      <c r="J99" s="72" t="str">
        <f aca="false">IF($I99="","",IFERROR($I99*INDEX(TAXAS,MATCH($H99,MOEDAS,0)),""))</f>
        <v/>
      </c>
      <c r="K99" s="73"/>
      <c r="L99" s="74"/>
      <c r="M99" s="75" t="n">
        <f aca="true">IF($G99&lt;&gt;"Parcelado",0,IF(OR($K99="",$L99=""),0,MIN($K99,MAX(0,(YEAR(TODAY())-YEAR($L99))*12+(MONTH(TODAY())-MONTH($L99))+IF(DAY(TODAY())&gt;=DAY($L99),1,0)))))</f>
        <v>0</v>
      </c>
      <c r="N99" s="72" t="str">
        <f aca="false">IF($J99="","",IF($G99="Pago",$J99,IF($G99="Reembolsado",0,IF($G99="Parcelado",IFERROR($J99/$K99*$M99,0),0))))</f>
        <v/>
      </c>
      <c r="O99" s="72" t="str">
        <f aca="false">IF($J99="","",IF($G99="Reembolsado",0,$J99-$N99))</f>
        <v/>
      </c>
      <c r="P99" s="68"/>
    </row>
    <row r="100" customFormat="false" ht="18" hidden="false" customHeight="true" outlineLevel="0" collapsed="false">
      <c r="A100" s="77"/>
      <c r="B100" s="78"/>
      <c r="C100" s="78"/>
      <c r="D100" s="78"/>
      <c r="E100" s="78"/>
      <c r="F100" s="78"/>
      <c r="G100" s="79"/>
      <c r="H100" s="79"/>
      <c r="I100" s="80"/>
      <c r="J100" s="72" t="str">
        <f aca="false">IF($I100="","",IFERROR($I100*INDEX(TAXAS,MATCH($H100,MOEDAS,0)),""))</f>
        <v/>
      </c>
      <c r="K100" s="81"/>
      <c r="L100" s="77"/>
      <c r="M100" s="75" t="n">
        <f aca="true">IF($G100&lt;&gt;"Parcelado",0,IF(OR($K100="",$L100=""),0,MIN($K100,MAX(0,(YEAR(TODAY())-YEAR($L100))*12+(MONTH(TODAY())-MONTH($L100))+IF(DAY(TODAY())&gt;=DAY($L100),1,0)))))</f>
        <v>0</v>
      </c>
      <c r="N100" s="72" t="str">
        <f aca="false">IF($J100="","",IF($G100="Pago",$J100,IF($G100="Reembolsado",0,IF($G100="Parcelado",IFERROR($J100/$K100*$M100,0),0))))</f>
        <v/>
      </c>
      <c r="O100" s="72" t="str">
        <f aca="false">IF($J100="","",IF($G100="Reembolsado",0,$J100-$N100))</f>
        <v/>
      </c>
      <c r="P100" s="78"/>
    </row>
    <row r="101" customFormat="false" ht="18" hidden="false" customHeight="true" outlineLevel="0" collapsed="false">
      <c r="A101" s="74"/>
      <c r="B101" s="68"/>
      <c r="C101" s="68"/>
      <c r="D101" s="68"/>
      <c r="E101" s="68"/>
      <c r="F101" s="68"/>
      <c r="G101" s="70"/>
      <c r="H101" s="70"/>
      <c r="I101" s="71"/>
      <c r="J101" s="72" t="str">
        <f aca="false">IF($I101="","",IFERROR($I101*INDEX(TAXAS,MATCH($H101,MOEDAS,0)),""))</f>
        <v/>
      </c>
      <c r="K101" s="73"/>
      <c r="L101" s="74"/>
      <c r="M101" s="75" t="n">
        <f aca="true">IF($G101&lt;&gt;"Parcelado",0,IF(OR($K101="",$L101=""),0,MIN($K101,MAX(0,(YEAR(TODAY())-YEAR($L101))*12+(MONTH(TODAY())-MONTH($L101))+IF(DAY(TODAY())&gt;=DAY($L101),1,0)))))</f>
        <v>0</v>
      </c>
      <c r="N101" s="72" t="str">
        <f aca="false">IF($J101="","",IF($G101="Pago",$J101,IF($G101="Reembolsado",0,IF($G101="Parcelado",IFERROR($J101/$K101*$M101,0),0))))</f>
        <v/>
      </c>
      <c r="O101" s="72" t="str">
        <f aca="false">IF($J101="","",IF($G101="Reembolsado",0,$J101-$N101))</f>
        <v/>
      </c>
      <c r="P101" s="68"/>
    </row>
    <row r="102" customFormat="false" ht="18" hidden="false" customHeight="true" outlineLevel="0" collapsed="false">
      <c r="A102" s="77"/>
      <c r="B102" s="78"/>
      <c r="C102" s="78"/>
      <c r="D102" s="78"/>
      <c r="E102" s="78"/>
      <c r="F102" s="78"/>
      <c r="G102" s="79"/>
      <c r="H102" s="79"/>
      <c r="I102" s="80"/>
      <c r="J102" s="72" t="str">
        <f aca="false">IF($I102="","",IFERROR($I102*INDEX(TAXAS,MATCH($H102,MOEDAS,0)),""))</f>
        <v/>
      </c>
      <c r="K102" s="81"/>
      <c r="L102" s="77"/>
      <c r="M102" s="75" t="n">
        <f aca="true">IF($G102&lt;&gt;"Parcelado",0,IF(OR($K102="",$L102=""),0,MIN($K102,MAX(0,(YEAR(TODAY())-YEAR($L102))*12+(MONTH(TODAY())-MONTH($L102))+IF(DAY(TODAY())&gt;=DAY($L102),1,0)))))</f>
        <v>0</v>
      </c>
      <c r="N102" s="72" t="str">
        <f aca="false">IF($J102="","",IF($G102="Pago",$J102,IF($G102="Reembolsado",0,IF($G102="Parcelado",IFERROR($J102/$K102*$M102,0),0))))</f>
        <v/>
      </c>
      <c r="O102" s="72" t="str">
        <f aca="false">IF($J102="","",IF($G102="Reembolsado",0,$J102-$N102))</f>
        <v/>
      </c>
      <c r="P102" s="78"/>
    </row>
    <row r="103" customFormat="false" ht="18" hidden="false" customHeight="true" outlineLevel="0" collapsed="false">
      <c r="A103" s="74"/>
      <c r="B103" s="68"/>
      <c r="C103" s="68"/>
      <c r="D103" s="68"/>
      <c r="E103" s="68"/>
      <c r="F103" s="68"/>
      <c r="G103" s="70"/>
      <c r="H103" s="70"/>
      <c r="I103" s="71"/>
      <c r="J103" s="72" t="str">
        <f aca="false">IF($I103="","",IFERROR($I103*INDEX(TAXAS,MATCH($H103,MOEDAS,0)),""))</f>
        <v/>
      </c>
      <c r="K103" s="73"/>
      <c r="L103" s="74"/>
      <c r="M103" s="75" t="n">
        <f aca="true">IF($G103&lt;&gt;"Parcelado",0,IF(OR($K103="",$L103=""),0,MIN($K103,MAX(0,(YEAR(TODAY())-YEAR($L103))*12+(MONTH(TODAY())-MONTH($L103))+IF(DAY(TODAY())&gt;=DAY($L103),1,0)))))</f>
        <v>0</v>
      </c>
      <c r="N103" s="72" t="str">
        <f aca="false">IF($J103="","",IF($G103="Pago",$J103,IF($G103="Reembolsado",0,IF($G103="Parcelado",IFERROR($J103/$K103*$M103,0),0))))</f>
        <v/>
      </c>
      <c r="O103" s="72" t="str">
        <f aca="false">IF($J103="","",IF($G103="Reembolsado",0,$J103-$N103))</f>
        <v/>
      </c>
      <c r="P103" s="68"/>
    </row>
    <row r="104" customFormat="false" ht="18" hidden="false" customHeight="true" outlineLevel="0" collapsed="false">
      <c r="A104" s="77"/>
      <c r="B104" s="78"/>
      <c r="C104" s="78"/>
      <c r="D104" s="78"/>
      <c r="E104" s="78"/>
      <c r="F104" s="78"/>
      <c r="G104" s="79"/>
      <c r="H104" s="79"/>
      <c r="I104" s="80"/>
      <c r="J104" s="72" t="str">
        <f aca="false">IF($I104="","",IFERROR($I104*INDEX(TAXAS,MATCH($H104,MOEDAS,0)),""))</f>
        <v/>
      </c>
      <c r="K104" s="81"/>
      <c r="L104" s="77"/>
      <c r="M104" s="75" t="n">
        <f aca="true">IF($G104&lt;&gt;"Parcelado",0,IF(OR($K104="",$L104=""),0,MIN($K104,MAX(0,(YEAR(TODAY())-YEAR($L104))*12+(MONTH(TODAY())-MONTH($L104))+IF(DAY(TODAY())&gt;=DAY($L104),1,0)))))</f>
        <v>0</v>
      </c>
      <c r="N104" s="72" t="str">
        <f aca="false">IF($J104="","",IF($G104="Pago",$J104,IF($G104="Reembolsado",0,IF($G104="Parcelado",IFERROR($J104/$K104*$M104,0),0))))</f>
        <v/>
      </c>
      <c r="O104" s="72" t="str">
        <f aca="false">IF($J104="","",IF($G104="Reembolsado",0,$J104-$N104))</f>
        <v/>
      </c>
      <c r="P104" s="78"/>
    </row>
    <row r="105" customFormat="false" ht="18" hidden="false" customHeight="true" outlineLevel="0" collapsed="false">
      <c r="A105" s="74"/>
      <c r="B105" s="68"/>
      <c r="C105" s="68"/>
      <c r="D105" s="68"/>
      <c r="E105" s="68"/>
      <c r="F105" s="68"/>
      <c r="G105" s="70"/>
      <c r="H105" s="70"/>
      <c r="I105" s="71"/>
      <c r="J105" s="72" t="str">
        <f aca="false">IF($I105="","",IFERROR($I105*INDEX(TAXAS,MATCH($H105,MOEDAS,0)),""))</f>
        <v/>
      </c>
      <c r="K105" s="73"/>
      <c r="L105" s="74"/>
      <c r="M105" s="75" t="n">
        <f aca="true">IF($G105&lt;&gt;"Parcelado",0,IF(OR($K105="",$L105=""),0,MIN($K105,MAX(0,(YEAR(TODAY())-YEAR($L105))*12+(MONTH(TODAY())-MONTH($L105))+IF(DAY(TODAY())&gt;=DAY($L105),1,0)))))</f>
        <v>0</v>
      </c>
      <c r="N105" s="72" t="str">
        <f aca="false">IF($J105="","",IF($G105="Pago",$J105,IF($G105="Reembolsado",0,IF($G105="Parcelado",IFERROR($J105/$K105*$M105,0),0))))</f>
        <v/>
      </c>
      <c r="O105" s="72" t="str">
        <f aca="false">IF($J105="","",IF($G105="Reembolsado",0,$J105-$N105))</f>
        <v/>
      </c>
      <c r="P105" s="68"/>
    </row>
    <row r="106" customFormat="false" ht="18" hidden="false" customHeight="true" outlineLevel="0" collapsed="false">
      <c r="A106" s="77"/>
      <c r="B106" s="78"/>
      <c r="C106" s="78"/>
      <c r="D106" s="78"/>
      <c r="E106" s="78"/>
      <c r="F106" s="78"/>
      <c r="G106" s="79"/>
      <c r="H106" s="79"/>
      <c r="I106" s="80"/>
      <c r="J106" s="72" t="str">
        <f aca="false">IF($I106="","",IFERROR($I106*INDEX(TAXAS,MATCH($H106,MOEDAS,0)),""))</f>
        <v/>
      </c>
      <c r="K106" s="81"/>
      <c r="L106" s="77"/>
      <c r="M106" s="75" t="n">
        <f aca="true">IF($G106&lt;&gt;"Parcelado",0,IF(OR($K106="",$L106=""),0,MIN($K106,MAX(0,(YEAR(TODAY())-YEAR($L106))*12+(MONTH(TODAY())-MONTH($L106))+IF(DAY(TODAY())&gt;=DAY($L106),1,0)))))</f>
        <v>0</v>
      </c>
      <c r="N106" s="72" t="str">
        <f aca="false">IF($J106="","",IF($G106="Pago",$J106,IF($G106="Reembolsado",0,IF($G106="Parcelado",IFERROR($J106/$K106*$M106,0),0))))</f>
        <v/>
      </c>
      <c r="O106" s="72" t="str">
        <f aca="false">IF($J106="","",IF($G106="Reembolsado",0,$J106-$N106))</f>
        <v/>
      </c>
      <c r="P106" s="78"/>
    </row>
    <row r="107" customFormat="false" ht="18" hidden="false" customHeight="true" outlineLevel="0" collapsed="false">
      <c r="A107" s="74"/>
      <c r="B107" s="68"/>
      <c r="C107" s="68"/>
      <c r="D107" s="68"/>
      <c r="E107" s="68"/>
      <c r="F107" s="68"/>
      <c r="G107" s="70"/>
      <c r="H107" s="70"/>
      <c r="I107" s="71"/>
      <c r="J107" s="72" t="str">
        <f aca="false">IF($I107="","",IFERROR($I107*INDEX(TAXAS,MATCH($H107,MOEDAS,0)),""))</f>
        <v/>
      </c>
      <c r="K107" s="73"/>
      <c r="L107" s="74"/>
      <c r="M107" s="75" t="n">
        <f aca="true">IF($G107&lt;&gt;"Parcelado",0,IF(OR($K107="",$L107=""),0,MIN($K107,MAX(0,(YEAR(TODAY())-YEAR($L107))*12+(MONTH(TODAY())-MONTH($L107))+IF(DAY(TODAY())&gt;=DAY($L107),1,0)))))</f>
        <v>0</v>
      </c>
      <c r="N107" s="72" t="str">
        <f aca="false">IF($J107="","",IF($G107="Pago",$J107,IF($G107="Reembolsado",0,IF($G107="Parcelado",IFERROR($J107/$K107*$M107,0),0))))</f>
        <v/>
      </c>
      <c r="O107" s="72" t="str">
        <f aca="false">IF($J107="","",IF($G107="Reembolsado",0,$J107-$N107))</f>
        <v/>
      </c>
      <c r="P107" s="68"/>
    </row>
    <row r="108" customFormat="false" ht="18" hidden="false" customHeight="true" outlineLevel="0" collapsed="false">
      <c r="A108" s="77"/>
      <c r="B108" s="78"/>
      <c r="C108" s="78"/>
      <c r="D108" s="78"/>
      <c r="E108" s="78"/>
      <c r="F108" s="78"/>
      <c r="G108" s="79"/>
      <c r="H108" s="79"/>
      <c r="I108" s="80"/>
      <c r="J108" s="72" t="str">
        <f aca="false">IF($I108="","",IFERROR($I108*INDEX(TAXAS,MATCH($H108,MOEDAS,0)),""))</f>
        <v/>
      </c>
      <c r="K108" s="81"/>
      <c r="L108" s="77"/>
      <c r="M108" s="75" t="n">
        <f aca="true">IF($G108&lt;&gt;"Parcelado",0,IF(OR($K108="",$L108=""),0,MIN($K108,MAX(0,(YEAR(TODAY())-YEAR($L108))*12+(MONTH(TODAY())-MONTH($L108))+IF(DAY(TODAY())&gt;=DAY($L108),1,0)))))</f>
        <v>0</v>
      </c>
      <c r="N108" s="72" t="str">
        <f aca="false">IF($J108="","",IF($G108="Pago",$J108,IF($G108="Reembolsado",0,IF($G108="Parcelado",IFERROR($J108/$K108*$M108,0),0))))</f>
        <v/>
      </c>
      <c r="O108" s="72" t="str">
        <f aca="false">IF($J108="","",IF($G108="Reembolsado",0,$J108-$N108))</f>
        <v/>
      </c>
      <c r="P108" s="78"/>
    </row>
    <row r="109" customFormat="false" ht="18" hidden="false" customHeight="true" outlineLevel="0" collapsed="false">
      <c r="A109" s="74"/>
      <c r="B109" s="68"/>
      <c r="C109" s="68"/>
      <c r="D109" s="68"/>
      <c r="E109" s="68"/>
      <c r="F109" s="68"/>
      <c r="G109" s="70"/>
      <c r="H109" s="70"/>
      <c r="I109" s="71"/>
      <c r="J109" s="72" t="str">
        <f aca="false">IF($I109="","",IFERROR($I109*INDEX(TAXAS,MATCH($H109,MOEDAS,0)),""))</f>
        <v/>
      </c>
      <c r="K109" s="73"/>
      <c r="L109" s="74"/>
      <c r="M109" s="75" t="n">
        <f aca="true">IF($G109&lt;&gt;"Parcelado",0,IF(OR($K109="",$L109=""),0,MIN($K109,MAX(0,(YEAR(TODAY())-YEAR($L109))*12+(MONTH(TODAY())-MONTH($L109))+IF(DAY(TODAY())&gt;=DAY($L109),1,0)))))</f>
        <v>0</v>
      </c>
      <c r="N109" s="72" t="str">
        <f aca="false">IF($J109="","",IF($G109="Pago",$J109,IF($G109="Reembolsado",0,IF($G109="Parcelado",IFERROR($J109/$K109*$M109,0),0))))</f>
        <v/>
      </c>
      <c r="O109" s="72" t="str">
        <f aca="false">IF($J109="","",IF($G109="Reembolsado",0,$J109-$N109))</f>
        <v/>
      </c>
      <c r="P109" s="68"/>
    </row>
    <row r="110" customFormat="false" ht="18" hidden="false" customHeight="true" outlineLevel="0" collapsed="false">
      <c r="A110" s="77"/>
      <c r="B110" s="78"/>
      <c r="C110" s="78"/>
      <c r="D110" s="78"/>
      <c r="E110" s="78"/>
      <c r="F110" s="78"/>
      <c r="G110" s="79"/>
      <c r="H110" s="79"/>
      <c r="I110" s="80"/>
      <c r="J110" s="72" t="str">
        <f aca="false">IF($I110="","",IFERROR($I110*INDEX(TAXAS,MATCH($H110,MOEDAS,0)),""))</f>
        <v/>
      </c>
      <c r="K110" s="81"/>
      <c r="L110" s="77"/>
      <c r="M110" s="75" t="n">
        <f aca="true">IF($G110&lt;&gt;"Parcelado",0,IF(OR($K110="",$L110=""),0,MIN($K110,MAX(0,(YEAR(TODAY())-YEAR($L110))*12+(MONTH(TODAY())-MONTH($L110))+IF(DAY(TODAY())&gt;=DAY($L110),1,0)))))</f>
        <v>0</v>
      </c>
      <c r="N110" s="72" t="str">
        <f aca="false">IF($J110="","",IF($G110="Pago",$J110,IF($G110="Reembolsado",0,IF($G110="Parcelado",IFERROR($J110/$K110*$M110,0),0))))</f>
        <v/>
      </c>
      <c r="O110" s="72" t="str">
        <f aca="false">IF($J110="","",IF($G110="Reembolsado",0,$J110-$N110))</f>
        <v/>
      </c>
      <c r="P110" s="78"/>
    </row>
    <row r="111" customFormat="false" ht="18" hidden="false" customHeight="true" outlineLevel="0" collapsed="false">
      <c r="A111" s="74"/>
      <c r="B111" s="68"/>
      <c r="C111" s="68"/>
      <c r="D111" s="68"/>
      <c r="E111" s="68"/>
      <c r="F111" s="68"/>
      <c r="G111" s="70"/>
      <c r="H111" s="70"/>
      <c r="I111" s="71"/>
      <c r="J111" s="72" t="str">
        <f aca="false">IF($I111="","",IFERROR($I111*INDEX(TAXAS,MATCH($H111,MOEDAS,0)),""))</f>
        <v/>
      </c>
      <c r="K111" s="73"/>
      <c r="L111" s="74"/>
      <c r="M111" s="75" t="n">
        <f aca="true">IF($G111&lt;&gt;"Parcelado",0,IF(OR($K111="",$L111=""),0,MIN($K111,MAX(0,(YEAR(TODAY())-YEAR($L111))*12+(MONTH(TODAY())-MONTH($L111))+IF(DAY(TODAY())&gt;=DAY($L111),1,0)))))</f>
        <v>0</v>
      </c>
      <c r="N111" s="72" t="str">
        <f aca="false">IF($J111="","",IF($G111="Pago",$J111,IF($G111="Reembolsado",0,IF($G111="Parcelado",IFERROR($J111/$K111*$M111,0),0))))</f>
        <v/>
      </c>
      <c r="O111" s="72" t="str">
        <f aca="false">IF($J111="","",IF($G111="Reembolsado",0,$J111-$N111))</f>
        <v/>
      </c>
      <c r="P111" s="68"/>
    </row>
    <row r="112" customFormat="false" ht="18" hidden="false" customHeight="true" outlineLevel="0" collapsed="false">
      <c r="A112" s="77"/>
      <c r="B112" s="78"/>
      <c r="C112" s="78"/>
      <c r="D112" s="78"/>
      <c r="E112" s="78"/>
      <c r="F112" s="78"/>
      <c r="G112" s="79"/>
      <c r="H112" s="79"/>
      <c r="I112" s="80"/>
      <c r="J112" s="72" t="str">
        <f aca="false">IF($I112="","",IFERROR($I112*INDEX(TAXAS,MATCH($H112,MOEDAS,0)),""))</f>
        <v/>
      </c>
      <c r="K112" s="81"/>
      <c r="L112" s="77"/>
      <c r="M112" s="75" t="n">
        <f aca="true">IF($G112&lt;&gt;"Parcelado",0,IF(OR($K112="",$L112=""),0,MIN($K112,MAX(0,(YEAR(TODAY())-YEAR($L112))*12+(MONTH(TODAY())-MONTH($L112))+IF(DAY(TODAY())&gt;=DAY($L112),1,0)))))</f>
        <v>0</v>
      </c>
      <c r="N112" s="72" t="str">
        <f aca="false">IF($J112="","",IF($G112="Pago",$J112,IF($G112="Reembolsado",0,IF($G112="Parcelado",IFERROR($J112/$K112*$M112,0),0))))</f>
        <v/>
      </c>
      <c r="O112" s="72" t="str">
        <f aca="false">IF($J112="","",IF($G112="Reembolsado",0,$J112-$N112))</f>
        <v/>
      </c>
      <c r="P112" s="78"/>
    </row>
    <row r="113" customFormat="false" ht="18" hidden="false" customHeight="true" outlineLevel="0" collapsed="false">
      <c r="A113" s="74"/>
      <c r="B113" s="68"/>
      <c r="C113" s="68"/>
      <c r="D113" s="68"/>
      <c r="E113" s="68"/>
      <c r="F113" s="68"/>
      <c r="G113" s="70"/>
      <c r="H113" s="70"/>
      <c r="I113" s="71"/>
      <c r="J113" s="72" t="str">
        <f aca="false">IF($I113="","",IFERROR($I113*INDEX(TAXAS,MATCH($H113,MOEDAS,0)),""))</f>
        <v/>
      </c>
      <c r="K113" s="73"/>
      <c r="L113" s="74"/>
      <c r="M113" s="75" t="n">
        <f aca="true">IF($G113&lt;&gt;"Parcelado",0,IF(OR($K113="",$L113=""),0,MIN($K113,MAX(0,(YEAR(TODAY())-YEAR($L113))*12+(MONTH(TODAY())-MONTH($L113))+IF(DAY(TODAY())&gt;=DAY($L113),1,0)))))</f>
        <v>0</v>
      </c>
      <c r="N113" s="72" t="str">
        <f aca="false">IF($J113="","",IF($G113="Pago",$J113,IF($G113="Reembolsado",0,IF($G113="Parcelado",IFERROR($J113/$K113*$M113,0),0))))</f>
        <v/>
      </c>
      <c r="O113" s="72" t="str">
        <f aca="false">IF($J113="","",IF($G113="Reembolsado",0,$J113-$N113))</f>
        <v/>
      </c>
      <c r="P113" s="68"/>
    </row>
    <row r="114" customFormat="false" ht="18" hidden="false" customHeight="true" outlineLevel="0" collapsed="false">
      <c r="A114" s="77"/>
      <c r="B114" s="78"/>
      <c r="C114" s="78"/>
      <c r="D114" s="78"/>
      <c r="E114" s="78"/>
      <c r="F114" s="78"/>
      <c r="G114" s="79"/>
      <c r="H114" s="79"/>
      <c r="I114" s="80"/>
      <c r="J114" s="72" t="str">
        <f aca="false">IF($I114="","",IFERROR($I114*INDEX(TAXAS,MATCH($H114,MOEDAS,0)),""))</f>
        <v/>
      </c>
      <c r="K114" s="81"/>
      <c r="L114" s="77"/>
      <c r="M114" s="75" t="n">
        <f aca="true">IF($G114&lt;&gt;"Parcelado",0,IF(OR($K114="",$L114=""),0,MIN($K114,MAX(0,(YEAR(TODAY())-YEAR($L114))*12+(MONTH(TODAY())-MONTH($L114))+IF(DAY(TODAY())&gt;=DAY($L114),1,0)))))</f>
        <v>0</v>
      </c>
      <c r="N114" s="72" t="str">
        <f aca="false">IF($J114="","",IF($G114="Pago",$J114,IF($G114="Reembolsado",0,IF($G114="Parcelado",IFERROR($J114/$K114*$M114,0),0))))</f>
        <v/>
      </c>
      <c r="O114" s="72" t="str">
        <f aca="false">IF($J114="","",IF($G114="Reembolsado",0,$J114-$N114))</f>
        <v/>
      </c>
      <c r="P114" s="78"/>
    </row>
    <row r="115" customFormat="false" ht="18" hidden="false" customHeight="true" outlineLevel="0" collapsed="false">
      <c r="A115" s="74"/>
      <c r="B115" s="68"/>
      <c r="C115" s="68"/>
      <c r="D115" s="68"/>
      <c r="E115" s="68"/>
      <c r="F115" s="68"/>
      <c r="G115" s="70"/>
      <c r="H115" s="70"/>
      <c r="I115" s="71"/>
      <c r="J115" s="72" t="str">
        <f aca="false">IF($I115="","",IFERROR($I115*INDEX(TAXAS,MATCH($H115,MOEDAS,0)),""))</f>
        <v/>
      </c>
      <c r="K115" s="73"/>
      <c r="L115" s="74"/>
      <c r="M115" s="75" t="n">
        <f aca="true">IF($G115&lt;&gt;"Parcelado",0,IF(OR($K115="",$L115=""),0,MIN($K115,MAX(0,(YEAR(TODAY())-YEAR($L115))*12+(MONTH(TODAY())-MONTH($L115))+IF(DAY(TODAY())&gt;=DAY($L115),1,0)))))</f>
        <v>0</v>
      </c>
      <c r="N115" s="72" t="str">
        <f aca="false">IF($J115="","",IF($G115="Pago",$J115,IF($G115="Reembolsado",0,IF($G115="Parcelado",IFERROR($J115/$K115*$M115,0),0))))</f>
        <v/>
      </c>
      <c r="O115" s="72" t="str">
        <f aca="false">IF($J115="","",IF($G115="Reembolsado",0,$J115-$N115))</f>
        <v/>
      </c>
      <c r="P115" s="68"/>
    </row>
    <row r="116" customFormat="false" ht="18" hidden="false" customHeight="true" outlineLevel="0" collapsed="false">
      <c r="A116" s="77"/>
      <c r="B116" s="78"/>
      <c r="C116" s="78"/>
      <c r="D116" s="78"/>
      <c r="E116" s="78"/>
      <c r="F116" s="78"/>
      <c r="G116" s="79"/>
      <c r="H116" s="79"/>
      <c r="I116" s="80"/>
      <c r="J116" s="72" t="str">
        <f aca="false">IF($I116="","",IFERROR($I116*INDEX(TAXAS,MATCH($H116,MOEDAS,0)),""))</f>
        <v/>
      </c>
      <c r="K116" s="81"/>
      <c r="L116" s="77"/>
      <c r="M116" s="75" t="n">
        <f aca="true">IF($G116&lt;&gt;"Parcelado",0,IF(OR($K116="",$L116=""),0,MIN($K116,MAX(0,(YEAR(TODAY())-YEAR($L116))*12+(MONTH(TODAY())-MONTH($L116))+IF(DAY(TODAY())&gt;=DAY($L116),1,0)))))</f>
        <v>0</v>
      </c>
      <c r="N116" s="72" t="str">
        <f aca="false">IF($J116="","",IF($G116="Pago",$J116,IF($G116="Reembolsado",0,IF($G116="Parcelado",IFERROR($J116/$K116*$M116,0),0))))</f>
        <v/>
      </c>
      <c r="O116" s="72" t="str">
        <f aca="false">IF($J116="","",IF($G116="Reembolsado",0,$J116-$N116))</f>
        <v/>
      </c>
      <c r="P116" s="78"/>
    </row>
    <row r="117" customFormat="false" ht="18" hidden="false" customHeight="true" outlineLevel="0" collapsed="false">
      <c r="A117" s="74"/>
      <c r="B117" s="68"/>
      <c r="C117" s="68"/>
      <c r="D117" s="68"/>
      <c r="E117" s="68"/>
      <c r="F117" s="68"/>
      <c r="G117" s="70"/>
      <c r="H117" s="70"/>
      <c r="I117" s="71"/>
      <c r="J117" s="72" t="str">
        <f aca="false">IF($I117="","",IFERROR($I117*INDEX(TAXAS,MATCH($H117,MOEDAS,0)),""))</f>
        <v/>
      </c>
      <c r="K117" s="73"/>
      <c r="L117" s="74"/>
      <c r="M117" s="75" t="n">
        <f aca="true">IF($G117&lt;&gt;"Parcelado",0,IF(OR($K117="",$L117=""),0,MIN($K117,MAX(0,(YEAR(TODAY())-YEAR($L117))*12+(MONTH(TODAY())-MONTH($L117))+IF(DAY(TODAY())&gt;=DAY($L117),1,0)))))</f>
        <v>0</v>
      </c>
      <c r="N117" s="72" t="str">
        <f aca="false">IF($J117="","",IF($G117="Pago",$J117,IF($G117="Reembolsado",0,IF($G117="Parcelado",IFERROR($J117/$K117*$M117,0),0))))</f>
        <v/>
      </c>
      <c r="O117" s="72" t="str">
        <f aca="false">IF($J117="","",IF($G117="Reembolsado",0,$J117-$N117))</f>
        <v/>
      </c>
      <c r="P117" s="68"/>
    </row>
    <row r="118" customFormat="false" ht="18" hidden="false" customHeight="true" outlineLevel="0" collapsed="false">
      <c r="A118" s="77"/>
      <c r="B118" s="78"/>
      <c r="C118" s="78"/>
      <c r="D118" s="78"/>
      <c r="E118" s="78"/>
      <c r="F118" s="78"/>
      <c r="G118" s="79"/>
      <c r="H118" s="79"/>
      <c r="I118" s="80"/>
      <c r="J118" s="72" t="str">
        <f aca="false">IF($I118="","",IFERROR($I118*INDEX(TAXAS,MATCH($H118,MOEDAS,0)),""))</f>
        <v/>
      </c>
      <c r="K118" s="81"/>
      <c r="L118" s="77"/>
      <c r="M118" s="75" t="n">
        <f aca="true">IF($G118&lt;&gt;"Parcelado",0,IF(OR($K118="",$L118=""),0,MIN($K118,MAX(0,(YEAR(TODAY())-YEAR($L118))*12+(MONTH(TODAY())-MONTH($L118))+IF(DAY(TODAY())&gt;=DAY($L118),1,0)))))</f>
        <v>0</v>
      </c>
      <c r="N118" s="72" t="str">
        <f aca="false">IF($J118="","",IF($G118="Pago",$J118,IF($G118="Reembolsado",0,IF($G118="Parcelado",IFERROR($J118/$K118*$M118,0),0))))</f>
        <v/>
      </c>
      <c r="O118" s="72" t="str">
        <f aca="false">IF($J118="","",IF($G118="Reembolsado",0,$J118-$N118))</f>
        <v/>
      </c>
      <c r="P118" s="78"/>
    </row>
    <row r="119" customFormat="false" ht="18" hidden="false" customHeight="true" outlineLevel="0" collapsed="false">
      <c r="A119" s="74"/>
      <c r="B119" s="68"/>
      <c r="C119" s="68"/>
      <c r="D119" s="68"/>
      <c r="E119" s="68"/>
      <c r="F119" s="68"/>
      <c r="G119" s="70"/>
      <c r="H119" s="70"/>
      <c r="I119" s="71"/>
      <c r="J119" s="72" t="str">
        <f aca="false">IF($I119="","",IFERROR($I119*INDEX(TAXAS,MATCH($H119,MOEDAS,0)),""))</f>
        <v/>
      </c>
      <c r="K119" s="73"/>
      <c r="L119" s="74"/>
      <c r="M119" s="75" t="n">
        <f aca="true">IF($G119&lt;&gt;"Parcelado",0,IF(OR($K119="",$L119=""),0,MIN($K119,MAX(0,(YEAR(TODAY())-YEAR($L119))*12+(MONTH(TODAY())-MONTH($L119))+IF(DAY(TODAY())&gt;=DAY($L119),1,0)))))</f>
        <v>0</v>
      </c>
      <c r="N119" s="72" t="str">
        <f aca="false">IF($J119="","",IF($G119="Pago",$J119,IF($G119="Reembolsado",0,IF($G119="Parcelado",IFERROR($J119/$K119*$M119,0),0))))</f>
        <v/>
      </c>
      <c r="O119" s="72" t="str">
        <f aca="false">IF($J119="","",IF($G119="Reembolsado",0,$J119-$N119))</f>
        <v/>
      </c>
      <c r="P119" s="68"/>
    </row>
    <row r="120" customFormat="false" ht="18" hidden="false" customHeight="true" outlineLevel="0" collapsed="false">
      <c r="A120" s="77"/>
      <c r="B120" s="78"/>
      <c r="C120" s="78"/>
      <c r="D120" s="78"/>
      <c r="E120" s="78"/>
      <c r="F120" s="78"/>
      <c r="G120" s="79"/>
      <c r="H120" s="79"/>
      <c r="I120" s="80"/>
      <c r="J120" s="72" t="str">
        <f aca="false">IF($I120="","",IFERROR($I120*INDEX(TAXAS,MATCH($H120,MOEDAS,0)),""))</f>
        <v/>
      </c>
      <c r="K120" s="81"/>
      <c r="L120" s="77"/>
      <c r="M120" s="75" t="n">
        <f aca="true">IF($G120&lt;&gt;"Parcelado",0,IF(OR($K120="",$L120=""),0,MIN($K120,MAX(0,(YEAR(TODAY())-YEAR($L120))*12+(MONTH(TODAY())-MONTH($L120))+IF(DAY(TODAY())&gt;=DAY($L120),1,0)))))</f>
        <v>0</v>
      </c>
      <c r="N120" s="72" t="str">
        <f aca="false">IF($J120="","",IF($G120="Pago",$J120,IF($G120="Reembolsado",0,IF($G120="Parcelado",IFERROR($J120/$K120*$M120,0),0))))</f>
        <v/>
      </c>
      <c r="O120" s="72" t="str">
        <f aca="false">IF($J120="","",IF($G120="Reembolsado",0,$J120-$N120))</f>
        <v/>
      </c>
      <c r="P120" s="78"/>
    </row>
    <row r="121" customFormat="false" ht="18" hidden="false" customHeight="true" outlineLevel="0" collapsed="false">
      <c r="A121" s="74"/>
      <c r="B121" s="68"/>
      <c r="C121" s="68"/>
      <c r="D121" s="68"/>
      <c r="E121" s="68"/>
      <c r="F121" s="68"/>
      <c r="G121" s="70"/>
      <c r="H121" s="70"/>
      <c r="I121" s="71"/>
      <c r="J121" s="72" t="str">
        <f aca="false">IF($I121="","",IFERROR($I121*INDEX(TAXAS,MATCH($H121,MOEDAS,0)),""))</f>
        <v/>
      </c>
      <c r="K121" s="73"/>
      <c r="L121" s="74"/>
      <c r="M121" s="75" t="n">
        <f aca="true">IF($G121&lt;&gt;"Parcelado",0,IF(OR($K121="",$L121=""),0,MIN($K121,MAX(0,(YEAR(TODAY())-YEAR($L121))*12+(MONTH(TODAY())-MONTH($L121))+IF(DAY(TODAY())&gt;=DAY($L121),1,0)))))</f>
        <v>0</v>
      </c>
      <c r="N121" s="72" t="str">
        <f aca="false">IF($J121="","",IF($G121="Pago",$J121,IF($G121="Reembolsado",0,IF($G121="Parcelado",IFERROR($J121/$K121*$M121,0),0))))</f>
        <v/>
      </c>
      <c r="O121" s="72" t="str">
        <f aca="false">IF($J121="","",IF($G121="Reembolsado",0,$J121-$N121))</f>
        <v/>
      </c>
      <c r="P121" s="68"/>
    </row>
    <row r="122" customFormat="false" ht="18" hidden="false" customHeight="true" outlineLevel="0" collapsed="false">
      <c r="A122" s="77"/>
      <c r="B122" s="78"/>
      <c r="C122" s="78"/>
      <c r="D122" s="78"/>
      <c r="E122" s="78"/>
      <c r="F122" s="78"/>
      <c r="G122" s="79"/>
      <c r="H122" s="79"/>
      <c r="I122" s="80"/>
      <c r="J122" s="72" t="str">
        <f aca="false">IF($I122="","",IFERROR($I122*INDEX(TAXAS,MATCH($H122,MOEDAS,0)),""))</f>
        <v/>
      </c>
      <c r="K122" s="81"/>
      <c r="L122" s="77"/>
      <c r="M122" s="75" t="n">
        <f aca="true">IF($G122&lt;&gt;"Parcelado",0,IF(OR($K122="",$L122=""),0,MIN($K122,MAX(0,(YEAR(TODAY())-YEAR($L122))*12+(MONTH(TODAY())-MONTH($L122))+IF(DAY(TODAY())&gt;=DAY($L122),1,0)))))</f>
        <v>0</v>
      </c>
      <c r="N122" s="72" t="str">
        <f aca="false">IF($J122="","",IF($G122="Pago",$J122,IF($G122="Reembolsado",0,IF($G122="Parcelado",IFERROR($J122/$K122*$M122,0),0))))</f>
        <v/>
      </c>
      <c r="O122" s="72" t="str">
        <f aca="false">IF($J122="","",IF($G122="Reembolsado",0,$J122-$N122))</f>
        <v/>
      </c>
      <c r="P122" s="78"/>
    </row>
    <row r="123" customFormat="false" ht="18" hidden="false" customHeight="true" outlineLevel="0" collapsed="false">
      <c r="A123" s="74"/>
      <c r="B123" s="68"/>
      <c r="C123" s="68"/>
      <c r="D123" s="68"/>
      <c r="E123" s="68"/>
      <c r="F123" s="68"/>
      <c r="G123" s="70"/>
      <c r="H123" s="70"/>
      <c r="I123" s="71"/>
      <c r="J123" s="72" t="str">
        <f aca="false">IF($I123="","",IFERROR($I123*INDEX(TAXAS,MATCH($H123,MOEDAS,0)),""))</f>
        <v/>
      </c>
      <c r="K123" s="73"/>
      <c r="L123" s="74"/>
      <c r="M123" s="75" t="n">
        <f aca="true">IF($G123&lt;&gt;"Parcelado",0,IF(OR($K123="",$L123=""),0,MIN($K123,MAX(0,(YEAR(TODAY())-YEAR($L123))*12+(MONTH(TODAY())-MONTH($L123))+IF(DAY(TODAY())&gt;=DAY($L123),1,0)))))</f>
        <v>0</v>
      </c>
      <c r="N123" s="72" t="str">
        <f aca="false">IF($J123="","",IF($G123="Pago",$J123,IF($G123="Reembolsado",0,IF($G123="Parcelado",IFERROR($J123/$K123*$M123,0),0))))</f>
        <v/>
      </c>
      <c r="O123" s="72" t="str">
        <f aca="false">IF($J123="","",IF($G123="Reembolsado",0,$J123-$N123))</f>
        <v/>
      </c>
      <c r="P123" s="68"/>
    </row>
    <row r="124" customFormat="false" ht="18" hidden="false" customHeight="true" outlineLevel="0" collapsed="false">
      <c r="A124" s="77"/>
      <c r="B124" s="78"/>
      <c r="C124" s="78"/>
      <c r="D124" s="78"/>
      <c r="E124" s="78"/>
      <c r="F124" s="78"/>
      <c r="G124" s="79"/>
      <c r="H124" s="79"/>
      <c r="I124" s="80"/>
      <c r="J124" s="72" t="str">
        <f aca="false">IF($I124="","",IFERROR($I124*INDEX(TAXAS,MATCH($H124,MOEDAS,0)),""))</f>
        <v/>
      </c>
      <c r="K124" s="81"/>
      <c r="L124" s="77"/>
      <c r="M124" s="75" t="n">
        <f aca="true">IF($G124&lt;&gt;"Parcelado",0,IF(OR($K124="",$L124=""),0,MIN($K124,MAX(0,(YEAR(TODAY())-YEAR($L124))*12+(MONTH(TODAY())-MONTH($L124))+IF(DAY(TODAY())&gt;=DAY($L124),1,0)))))</f>
        <v>0</v>
      </c>
      <c r="N124" s="72" t="str">
        <f aca="false">IF($J124="","",IF($G124="Pago",$J124,IF($G124="Reembolsado",0,IF($G124="Parcelado",IFERROR($J124/$K124*$M124,0),0))))</f>
        <v/>
      </c>
      <c r="O124" s="72" t="str">
        <f aca="false">IF($J124="","",IF($G124="Reembolsado",0,$J124-$N124))</f>
        <v/>
      </c>
      <c r="P124" s="78"/>
    </row>
    <row r="125" customFormat="false" ht="18" hidden="false" customHeight="true" outlineLevel="0" collapsed="false">
      <c r="A125" s="74"/>
      <c r="B125" s="68"/>
      <c r="C125" s="68"/>
      <c r="D125" s="68"/>
      <c r="E125" s="68"/>
      <c r="F125" s="68"/>
      <c r="G125" s="70"/>
      <c r="H125" s="70"/>
      <c r="I125" s="71"/>
      <c r="J125" s="72" t="str">
        <f aca="false">IF($I125="","",IFERROR($I125*INDEX(TAXAS,MATCH($H125,MOEDAS,0)),""))</f>
        <v/>
      </c>
      <c r="K125" s="73"/>
      <c r="L125" s="74"/>
      <c r="M125" s="75" t="n">
        <f aca="true">IF($G125&lt;&gt;"Parcelado",0,IF(OR($K125="",$L125=""),0,MIN($K125,MAX(0,(YEAR(TODAY())-YEAR($L125))*12+(MONTH(TODAY())-MONTH($L125))+IF(DAY(TODAY())&gt;=DAY($L125),1,0)))))</f>
        <v>0</v>
      </c>
      <c r="N125" s="72" t="str">
        <f aca="false">IF($J125="","",IF($G125="Pago",$J125,IF($G125="Reembolsado",0,IF($G125="Parcelado",IFERROR($J125/$K125*$M125,0),0))))</f>
        <v/>
      </c>
      <c r="O125" s="72" t="str">
        <f aca="false">IF($J125="","",IF($G125="Reembolsado",0,$J125-$N125))</f>
        <v/>
      </c>
      <c r="P125" s="68"/>
    </row>
    <row r="126" customFormat="false" ht="18" hidden="false" customHeight="true" outlineLevel="0" collapsed="false">
      <c r="A126" s="77"/>
      <c r="B126" s="78"/>
      <c r="C126" s="78"/>
      <c r="D126" s="78"/>
      <c r="E126" s="78"/>
      <c r="F126" s="78"/>
      <c r="G126" s="79"/>
      <c r="H126" s="79"/>
      <c r="I126" s="80"/>
      <c r="J126" s="72" t="str">
        <f aca="false">IF($I126="","",IFERROR($I126*INDEX(TAXAS,MATCH($H126,MOEDAS,0)),""))</f>
        <v/>
      </c>
      <c r="K126" s="81"/>
      <c r="L126" s="77"/>
      <c r="M126" s="75" t="n">
        <f aca="true">IF($G126&lt;&gt;"Parcelado",0,IF(OR($K126="",$L126=""),0,MIN($K126,MAX(0,(YEAR(TODAY())-YEAR($L126))*12+(MONTH(TODAY())-MONTH($L126))+IF(DAY(TODAY())&gt;=DAY($L126),1,0)))))</f>
        <v>0</v>
      </c>
      <c r="N126" s="72" t="str">
        <f aca="false">IF($J126="","",IF($G126="Pago",$J126,IF($G126="Reembolsado",0,IF($G126="Parcelado",IFERROR($J126/$K126*$M126,0),0))))</f>
        <v/>
      </c>
      <c r="O126" s="72" t="str">
        <f aca="false">IF($J126="","",IF($G126="Reembolsado",0,$J126-$N126))</f>
        <v/>
      </c>
      <c r="P126" s="78"/>
    </row>
    <row r="127" customFormat="false" ht="18" hidden="false" customHeight="true" outlineLevel="0" collapsed="false">
      <c r="A127" s="74"/>
      <c r="B127" s="68"/>
      <c r="C127" s="68"/>
      <c r="D127" s="68"/>
      <c r="E127" s="68"/>
      <c r="F127" s="68"/>
      <c r="G127" s="70"/>
      <c r="H127" s="70"/>
      <c r="I127" s="71"/>
      <c r="J127" s="72" t="str">
        <f aca="false">IF($I127="","",IFERROR($I127*INDEX(TAXAS,MATCH($H127,MOEDAS,0)),""))</f>
        <v/>
      </c>
      <c r="K127" s="73"/>
      <c r="L127" s="74"/>
      <c r="M127" s="75" t="n">
        <f aca="true">IF($G127&lt;&gt;"Parcelado",0,IF(OR($K127="",$L127=""),0,MIN($K127,MAX(0,(YEAR(TODAY())-YEAR($L127))*12+(MONTH(TODAY())-MONTH($L127))+IF(DAY(TODAY())&gt;=DAY($L127),1,0)))))</f>
        <v>0</v>
      </c>
      <c r="N127" s="72" t="str">
        <f aca="false">IF($J127="","",IF($G127="Pago",$J127,IF($G127="Reembolsado",0,IF($G127="Parcelado",IFERROR($J127/$K127*$M127,0),0))))</f>
        <v/>
      </c>
      <c r="O127" s="72" t="str">
        <f aca="false">IF($J127="","",IF($G127="Reembolsado",0,$J127-$N127))</f>
        <v/>
      </c>
      <c r="P127" s="68"/>
    </row>
    <row r="128" customFormat="false" ht="18" hidden="false" customHeight="true" outlineLevel="0" collapsed="false">
      <c r="A128" s="77"/>
      <c r="B128" s="78"/>
      <c r="C128" s="78"/>
      <c r="D128" s="78"/>
      <c r="E128" s="78"/>
      <c r="F128" s="78"/>
      <c r="G128" s="79"/>
      <c r="H128" s="79"/>
      <c r="I128" s="80"/>
      <c r="J128" s="72" t="str">
        <f aca="false">IF($I128="","",IFERROR($I128*INDEX(TAXAS,MATCH($H128,MOEDAS,0)),""))</f>
        <v/>
      </c>
      <c r="K128" s="81"/>
      <c r="L128" s="77"/>
      <c r="M128" s="75" t="n">
        <f aca="true">IF($G128&lt;&gt;"Parcelado",0,IF(OR($K128="",$L128=""),0,MIN($K128,MAX(0,(YEAR(TODAY())-YEAR($L128))*12+(MONTH(TODAY())-MONTH($L128))+IF(DAY(TODAY())&gt;=DAY($L128),1,0)))))</f>
        <v>0</v>
      </c>
      <c r="N128" s="72" t="str">
        <f aca="false">IF($J128="","",IF($G128="Pago",$J128,IF($G128="Reembolsado",0,IF($G128="Parcelado",IFERROR($J128/$K128*$M128,0),0))))</f>
        <v/>
      </c>
      <c r="O128" s="72" t="str">
        <f aca="false">IF($J128="","",IF($G128="Reembolsado",0,$J128-$N128))</f>
        <v/>
      </c>
      <c r="P128" s="78"/>
    </row>
    <row r="129" customFormat="false" ht="18" hidden="false" customHeight="true" outlineLevel="0" collapsed="false">
      <c r="A129" s="74"/>
      <c r="B129" s="68"/>
      <c r="C129" s="68"/>
      <c r="D129" s="68"/>
      <c r="E129" s="68"/>
      <c r="F129" s="68"/>
      <c r="G129" s="70"/>
      <c r="H129" s="70"/>
      <c r="I129" s="71"/>
      <c r="J129" s="72" t="str">
        <f aca="false">IF($I129="","",IFERROR($I129*INDEX(TAXAS,MATCH($H129,MOEDAS,0)),""))</f>
        <v/>
      </c>
      <c r="K129" s="73"/>
      <c r="L129" s="74"/>
      <c r="M129" s="75" t="n">
        <f aca="true">IF($G129&lt;&gt;"Parcelado",0,IF(OR($K129="",$L129=""),0,MIN($K129,MAX(0,(YEAR(TODAY())-YEAR($L129))*12+(MONTH(TODAY())-MONTH($L129))+IF(DAY(TODAY())&gt;=DAY($L129),1,0)))))</f>
        <v>0</v>
      </c>
      <c r="N129" s="72" t="str">
        <f aca="false">IF($J129="","",IF($G129="Pago",$J129,IF($G129="Reembolsado",0,IF($G129="Parcelado",IFERROR($J129/$K129*$M129,0),0))))</f>
        <v/>
      </c>
      <c r="O129" s="72" t="str">
        <f aca="false">IF($J129="","",IF($G129="Reembolsado",0,$J129-$N129))</f>
        <v/>
      </c>
      <c r="P129" s="68"/>
    </row>
    <row r="130" customFormat="false" ht="18" hidden="false" customHeight="true" outlineLevel="0" collapsed="false">
      <c r="A130" s="77"/>
      <c r="B130" s="78"/>
      <c r="C130" s="78"/>
      <c r="D130" s="78"/>
      <c r="E130" s="78"/>
      <c r="F130" s="78"/>
      <c r="G130" s="79"/>
      <c r="H130" s="79"/>
      <c r="I130" s="80"/>
      <c r="J130" s="72" t="str">
        <f aca="false">IF($I130="","",IFERROR($I130*INDEX(TAXAS,MATCH($H130,MOEDAS,0)),""))</f>
        <v/>
      </c>
      <c r="K130" s="81"/>
      <c r="L130" s="77"/>
      <c r="M130" s="75" t="n">
        <f aca="true">IF($G130&lt;&gt;"Parcelado",0,IF(OR($K130="",$L130=""),0,MIN($K130,MAX(0,(YEAR(TODAY())-YEAR($L130))*12+(MONTH(TODAY())-MONTH($L130))+IF(DAY(TODAY())&gt;=DAY($L130),1,0)))))</f>
        <v>0</v>
      </c>
      <c r="N130" s="72" t="str">
        <f aca="false">IF($J130="","",IF($G130="Pago",$J130,IF($G130="Reembolsado",0,IF($G130="Parcelado",IFERROR($J130/$K130*$M130,0),0))))</f>
        <v/>
      </c>
      <c r="O130" s="72" t="str">
        <f aca="false">IF($J130="","",IF($G130="Reembolsado",0,$J130-$N130))</f>
        <v/>
      </c>
      <c r="P130" s="78"/>
    </row>
    <row r="131" customFormat="false" ht="18" hidden="false" customHeight="true" outlineLevel="0" collapsed="false">
      <c r="A131" s="74"/>
      <c r="B131" s="68"/>
      <c r="C131" s="68"/>
      <c r="D131" s="68"/>
      <c r="E131" s="68"/>
      <c r="F131" s="68"/>
      <c r="G131" s="70"/>
      <c r="H131" s="70"/>
      <c r="I131" s="71"/>
      <c r="J131" s="72" t="str">
        <f aca="false">IF($I131="","",IFERROR($I131*INDEX(TAXAS,MATCH($H131,MOEDAS,0)),""))</f>
        <v/>
      </c>
      <c r="K131" s="73"/>
      <c r="L131" s="74"/>
      <c r="M131" s="75" t="n">
        <f aca="true">IF($G131&lt;&gt;"Parcelado",0,IF(OR($K131="",$L131=""),0,MIN($K131,MAX(0,(YEAR(TODAY())-YEAR($L131))*12+(MONTH(TODAY())-MONTH($L131))+IF(DAY(TODAY())&gt;=DAY($L131),1,0)))))</f>
        <v>0</v>
      </c>
      <c r="N131" s="72" t="str">
        <f aca="false">IF($J131="","",IF($G131="Pago",$J131,IF($G131="Reembolsado",0,IF($G131="Parcelado",IFERROR($J131/$K131*$M131,0),0))))</f>
        <v/>
      </c>
      <c r="O131" s="72" t="str">
        <f aca="false">IF($J131="","",IF($G131="Reembolsado",0,$J131-$N131))</f>
        <v/>
      </c>
      <c r="P131" s="68"/>
    </row>
    <row r="132" customFormat="false" ht="18" hidden="false" customHeight="true" outlineLevel="0" collapsed="false">
      <c r="A132" s="77"/>
      <c r="B132" s="78"/>
      <c r="C132" s="78"/>
      <c r="D132" s="78"/>
      <c r="E132" s="78"/>
      <c r="F132" s="78"/>
      <c r="G132" s="79"/>
      <c r="H132" s="79"/>
      <c r="I132" s="80"/>
      <c r="J132" s="72" t="str">
        <f aca="false">IF($I132="","",IFERROR($I132*INDEX(TAXAS,MATCH($H132,MOEDAS,0)),""))</f>
        <v/>
      </c>
      <c r="K132" s="81"/>
      <c r="L132" s="77"/>
      <c r="M132" s="75" t="n">
        <f aca="true">IF($G132&lt;&gt;"Parcelado",0,IF(OR($K132="",$L132=""),0,MIN($K132,MAX(0,(YEAR(TODAY())-YEAR($L132))*12+(MONTH(TODAY())-MONTH($L132))+IF(DAY(TODAY())&gt;=DAY($L132),1,0)))))</f>
        <v>0</v>
      </c>
      <c r="N132" s="72" t="str">
        <f aca="false">IF($J132="","",IF($G132="Pago",$J132,IF($G132="Reembolsado",0,IF($G132="Parcelado",IFERROR($J132/$K132*$M132,0),0))))</f>
        <v/>
      </c>
      <c r="O132" s="72" t="str">
        <f aca="false">IF($J132="","",IF($G132="Reembolsado",0,$J132-$N132))</f>
        <v/>
      </c>
      <c r="P132" s="78"/>
    </row>
    <row r="133" customFormat="false" ht="18" hidden="false" customHeight="true" outlineLevel="0" collapsed="false">
      <c r="A133" s="74"/>
      <c r="B133" s="68"/>
      <c r="C133" s="68"/>
      <c r="D133" s="68"/>
      <c r="E133" s="68"/>
      <c r="F133" s="68"/>
      <c r="G133" s="70"/>
      <c r="H133" s="70"/>
      <c r="I133" s="71"/>
      <c r="J133" s="72" t="str">
        <f aca="false">IF($I133="","",IFERROR($I133*INDEX(TAXAS,MATCH($H133,MOEDAS,0)),""))</f>
        <v/>
      </c>
      <c r="K133" s="73"/>
      <c r="L133" s="74"/>
      <c r="M133" s="75" t="n">
        <f aca="true">IF($G133&lt;&gt;"Parcelado",0,IF(OR($K133="",$L133=""),0,MIN($K133,MAX(0,(YEAR(TODAY())-YEAR($L133))*12+(MONTH(TODAY())-MONTH($L133))+IF(DAY(TODAY())&gt;=DAY($L133),1,0)))))</f>
        <v>0</v>
      </c>
      <c r="N133" s="72" t="str">
        <f aca="false">IF($J133="","",IF($G133="Pago",$J133,IF($G133="Reembolsado",0,IF($G133="Parcelado",IFERROR($J133/$K133*$M133,0),0))))</f>
        <v/>
      </c>
      <c r="O133" s="72" t="str">
        <f aca="false">IF($J133="","",IF($G133="Reembolsado",0,$J133-$N133))</f>
        <v/>
      </c>
      <c r="P133" s="68"/>
    </row>
    <row r="134" customFormat="false" ht="18" hidden="false" customHeight="true" outlineLevel="0" collapsed="false">
      <c r="A134" s="77"/>
      <c r="B134" s="78"/>
      <c r="C134" s="78"/>
      <c r="D134" s="78"/>
      <c r="E134" s="78"/>
      <c r="F134" s="78"/>
      <c r="G134" s="79"/>
      <c r="H134" s="79"/>
      <c r="I134" s="80"/>
      <c r="J134" s="72" t="str">
        <f aca="false">IF($I134="","",IFERROR($I134*INDEX(TAXAS,MATCH($H134,MOEDAS,0)),""))</f>
        <v/>
      </c>
      <c r="K134" s="81"/>
      <c r="L134" s="77"/>
      <c r="M134" s="75" t="n">
        <f aca="true">IF($G134&lt;&gt;"Parcelado",0,IF(OR($K134="",$L134=""),0,MIN($K134,MAX(0,(YEAR(TODAY())-YEAR($L134))*12+(MONTH(TODAY())-MONTH($L134))+IF(DAY(TODAY())&gt;=DAY($L134),1,0)))))</f>
        <v>0</v>
      </c>
      <c r="N134" s="72" t="str">
        <f aca="false">IF($J134="","",IF($G134="Pago",$J134,IF($G134="Reembolsado",0,IF($G134="Parcelado",IFERROR($J134/$K134*$M134,0),0))))</f>
        <v/>
      </c>
      <c r="O134" s="72" t="str">
        <f aca="false">IF($J134="","",IF($G134="Reembolsado",0,$J134-$N134))</f>
        <v/>
      </c>
      <c r="P134" s="78"/>
    </row>
    <row r="135" customFormat="false" ht="18" hidden="false" customHeight="true" outlineLevel="0" collapsed="false">
      <c r="A135" s="74"/>
      <c r="B135" s="68"/>
      <c r="C135" s="68"/>
      <c r="D135" s="68"/>
      <c r="E135" s="68"/>
      <c r="F135" s="68"/>
      <c r="G135" s="70"/>
      <c r="H135" s="70"/>
      <c r="I135" s="71"/>
      <c r="J135" s="72" t="str">
        <f aca="false">IF($I135="","",IFERROR($I135*INDEX(TAXAS,MATCH($H135,MOEDAS,0)),""))</f>
        <v/>
      </c>
      <c r="K135" s="73"/>
      <c r="L135" s="74"/>
      <c r="M135" s="75" t="n">
        <f aca="true">IF($G135&lt;&gt;"Parcelado",0,IF(OR($K135="",$L135=""),0,MIN($K135,MAX(0,(YEAR(TODAY())-YEAR($L135))*12+(MONTH(TODAY())-MONTH($L135))+IF(DAY(TODAY())&gt;=DAY($L135),1,0)))))</f>
        <v>0</v>
      </c>
      <c r="N135" s="72" t="str">
        <f aca="false">IF($J135="","",IF($G135="Pago",$J135,IF($G135="Reembolsado",0,IF($G135="Parcelado",IFERROR($J135/$K135*$M135,0),0))))</f>
        <v/>
      </c>
      <c r="O135" s="72" t="str">
        <f aca="false">IF($J135="","",IF($G135="Reembolsado",0,$J135-$N135))</f>
        <v/>
      </c>
      <c r="P135" s="68"/>
    </row>
    <row r="136" customFormat="false" ht="18" hidden="false" customHeight="true" outlineLevel="0" collapsed="false">
      <c r="A136" s="77"/>
      <c r="B136" s="78"/>
      <c r="C136" s="78"/>
      <c r="D136" s="78"/>
      <c r="E136" s="78"/>
      <c r="F136" s="78"/>
      <c r="G136" s="79"/>
      <c r="H136" s="79"/>
      <c r="I136" s="80"/>
      <c r="J136" s="72" t="str">
        <f aca="false">IF($I136="","",IFERROR($I136*INDEX(TAXAS,MATCH($H136,MOEDAS,0)),""))</f>
        <v/>
      </c>
      <c r="K136" s="81"/>
      <c r="L136" s="77"/>
      <c r="M136" s="75" t="n">
        <f aca="true">IF($G136&lt;&gt;"Parcelado",0,IF(OR($K136="",$L136=""),0,MIN($K136,MAX(0,(YEAR(TODAY())-YEAR($L136))*12+(MONTH(TODAY())-MONTH($L136))+IF(DAY(TODAY())&gt;=DAY($L136),1,0)))))</f>
        <v>0</v>
      </c>
      <c r="N136" s="72" t="str">
        <f aca="false">IF($J136="","",IF($G136="Pago",$J136,IF($G136="Reembolsado",0,IF($G136="Parcelado",IFERROR($J136/$K136*$M136,0),0))))</f>
        <v/>
      </c>
      <c r="O136" s="72" t="str">
        <f aca="false">IF($J136="","",IF($G136="Reembolsado",0,$J136-$N136))</f>
        <v/>
      </c>
      <c r="P136" s="78"/>
    </row>
    <row r="137" customFormat="false" ht="18" hidden="false" customHeight="true" outlineLevel="0" collapsed="false">
      <c r="A137" s="74"/>
      <c r="B137" s="68"/>
      <c r="C137" s="68"/>
      <c r="D137" s="68"/>
      <c r="E137" s="68"/>
      <c r="F137" s="68"/>
      <c r="G137" s="70"/>
      <c r="H137" s="70"/>
      <c r="I137" s="71"/>
      <c r="J137" s="72" t="str">
        <f aca="false">IF($I137="","",IFERROR($I137*INDEX(TAXAS,MATCH($H137,MOEDAS,0)),""))</f>
        <v/>
      </c>
      <c r="K137" s="73"/>
      <c r="L137" s="74"/>
      <c r="M137" s="75" t="n">
        <f aca="true">IF($G137&lt;&gt;"Parcelado",0,IF(OR($K137="",$L137=""),0,MIN($K137,MAX(0,(YEAR(TODAY())-YEAR($L137))*12+(MONTH(TODAY())-MONTH($L137))+IF(DAY(TODAY())&gt;=DAY($L137),1,0)))))</f>
        <v>0</v>
      </c>
      <c r="N137" s="72" t="str">
        <f aca="false">IF($J137="","",IF($G137="Pago",$J137,IF($G137="Reembolsado",0,IF($G137="Parcelado",IFERROR($J137/$K137*$M137,0),0))))</f>
        <v/>
      </c>
      <c r="O137" s="72" t="str">
        <f aca="false">IF($J137="","",IF($G137="Reembolsado",0,$J137-$N137))</f>
        <v/>
      </c>
      <c r="P137" s="68"/>
    </row>
    <row r="138" customFormat="false" ht="18" hidden="false" customHeight="true" outlineLevel="0" collapsed="false">
      <c r="A138" s="77"/>
      <c r="B138" s="78"/>
      <c r="C138" s="78"/>
      <c r="D138" s="78"/>
      <c r="E138" s="78"/>
      <c r="F138" s="78"/>
      <c r="G138" s="79"/>
      <c r="H138" s="79"/>
      <c r="I138" s="80"/>
      <c r="J138" s="72" t="str">
        <f aca="false">IF($I138="","",IFERROR($I138*INDEX(TAXAS,MATCH($H138,MOEDAS,0)),""))</f>
        <v/>
      </c>
      <c r="K138" s="81"/>
      <c r="L138" s="77"/>
      <c r="M138" s="75" t="n">
        <f aca="true">IF($G138&lt;&gt;"Parcelado",0,IF(OR($K138="",$L138=""),0,MIN($K138,MAX(0,(YEAR(TODAY())-YEAR($L138))*12+(MONTH(TODAY())-MONTH($L138))+IF(DAY(TODAY())&gt;=DAY($L138),1,0)))))</f>
        <v>0</v>
      </c>
      <c r="N138" s="72" t="str">
        <f aca="false">IF($J138="","",IF($G138="Pago",$J138,IF($G138="Reembolsado",0,IF($G138="Parcelado",IFERROR($J138/$K138*$M138,0),0))))</f>
        <v/>
      </c>
      <c r="O138" s="72" t="str">
        <f aca="false">IF($J138="","",IF($G138="Reembolsado",0,$J138-$N138))</f>
        <v/>
      </c>
      <c r="P138" s="78"/>
    </row>
    <row r="139" customFormat="false" ht="18" hidden="false" customHeight="true" outlineLevel="0" collapsed="false">
      <c r="A139" s="74"/>
      <c r="B139" s="68"/>
      <c r="C139" s="68"/>
      <c r="D139" s="68"/>
      <c r="E139" s="68"/>
      <c r="F139" s="68"/>
      <c r="G139" s="70"/>
      <c r="H139" s="70"/>
      <c r="I139" s="71"/>
      <c r="J139" s="72" t="str">
        <f aca="false">IF($I139="","",IFERROR($I139*INDEX(TAXAS,MATCH($H139,MOEDAS,0)),""))</f>
        <v/>
      </c>
      <c r="K139" s="73"/>
      <c r="L139" s="74"/>
      <c r="M139" s="75" t="n">
        <f aca="true">IF($G139&lt;&gt;"Parcelado",0,IF(OR($K139="",$L139=""),0,MIN($K139,MAX(0,(YEAR(TODAY())-YEAR($L139))*12+(MONTH(TODAY())-MONTH($L139))+IF(DAY(TODAY())&gt;=DAY($L139),1,0)))))</f>
        <v>0</v>
      </c>
      <c r="N139" s="72" t="str">
        <f aca="false">IF($J139="","",IF($G139="Pago",$J139,IF($G139="Reembolsado",0,IF($G139="Parcelado",IFERROR($J139/$K139*$M139,0),0))))</f>
        <v/>
      </c>
      <c r="O139" s="72" t="str">
        <f aca="false">IF($J139="","",IF($G139="Reembolsado",0,$J139-$N139))</f>
        <v/>
      </c>
      <c r="P139" s="68"/>
    </row>
    <row r="140" customFormat="false" ht="18" hidden="false" customHeight="true" outlineLevel="0" collapsed="false">
      <c r="A140" s="77"/>
      <c r="B140" s="78"/>
      <c r="C140" s="78"/>
      <c r="D140" s="78"/>
      <c r="E140" s="78"/>
      <c r="F140" s="78"/>
      <c r="G140" s="79"/>
      <c r="H140" s="79"/>
      <c r="I140" s="80"/>
      <c r="J140" s="72" t="str">
        <f aca="false">IF($I140="","",IFERROR($I140*INDEX(TAXAS,MATCH($H140,MOEDAS,0)),""))</f>
        <v/>
      </c>
      <c r="K140" s="81"/>
      <c r="L140" s="77"/>
      <c r="M140" s="75" t="n">
        <f aca="true">IF($G140&lt;&gt;"Parcelado",0,IF(OR($K140="",$L140=""),0,MIN($K140,MAX(0,(YEAR(TODAY())-YEAR($L140))*12+(MONTH(TODAY())-MONTH($L140))+IF(DAY(TODAY())&gt;=DAY($L140),1,0)))))</f>
        <v>0</v>
      </c>
      <c r="N140" s="72" t="str">
        <f aca="false">IF($J140="","",IF($G140="Pago",$J140,IF($G140="Reembolsado",0,IF($G140="Parcelado",IFERROR($J140/$K140*$M140,0),0))))</f>
        <v/>
      </c>
      <c r="O140" s="72" t="str">
        <f aca="false">IF($J140="","",IF($G140="Reembolsado",0,$J140-$N140))</f>
        <v/>
      </c>
      <c r="P140" s="78"/>
    </row>
    <row r="141" customFormat="false" ht="18" hidden="false" customHeight="true" outlineLevel="0" collapsed="false">
      <c r="A141" s="74"/>
      <c r="B141" s="68"/>
      <c r="C141" s="68"/>
      <c r="D141" s="68"/>
      <c r="E141" s="68"/>
      <c r="F141" s="68"/>
      <c r="G141" s="70"/>
      <c r="H141" s="70"/>
      <c r="I141" s="71"/>
      <c r="J141" s="72" t="str">
        <f aca="false">IF($I141="","",IFERROR($I141*INDEX(TAXAS,MATCH($H141,MOEDAS,0)),""))</f>
        <v/>
      </c>
      <c r="K141" s="73"/>
      <c r="L141" s="74"/>
      <c r="M141" s="75" t="n">
        <f aca="true">IF($G141&lt;&gt;"Parcelado",0,IF(OR($K141="",$L141=""),0,MIN($K141,MAX(0,(YEAR(TODAY())-YEAR($L141))*12+(MONTH(TODAY())-MONTH($L141))+IF(DAY(TODAY())&gt;=DAY($L141),1,0)))))</f>
        <v>0</v>
      </c>
      <c r="N141" s="72" t="str">
        <f aca="false">IF($J141="","",IF($G141="Pago",$J141,IF($G141="Reembolsado",0,IF($G141="Parcelado",IFERROR($J141/$K141*$M141,0),0))))</f>
        <v/>
      </c>
      <c r="O141" s="72" t="str">
        <f aca="false">IF($J141="","",IF($G141="Reembolsado",0,$J141-$N141))</f>
        <v/>
      </c>
      <c r="P141" s="68"/>
    </row>
    <row r="142" customFormat="false" ht="18" hidden="false" customHeight="true" outlineLevel="0" collapsed="false">
      <c r="A142" s="77"/>
      <c r="B142" s="78"/>
      <c r="C142" s="78"/>
      <c r="D142" s="78"/>
      <c r="E142" s="78"/>
      <c r="F142" s="78"/>
      <c r="G142" s="79"/>
      <c r="H142" s="79"/>
      <c r="I142" s="80"/>
      <c r="J142" s="72" t="str">
        <f aca="false">IF($I142="","",IFERROR($I142*INDEX(TAXAS,MATCH($H142,MOEDAS,0)),""))</f>
        <v/>
      </c>
      <c r="K142" s="81"/>
      <c r="L142" s="77"/>
      <c r="M142" s="75" t="n">
        <f aca="true">IF($G142&lt;&gt;"Parcelado",0,IF(OR($K142="",$L142=""),0,MIN($K142,MAX(0,(YEAR(TODAY())-YEAR($L142))*12+(MONTH(TODAY())-MONTH($L142))+IF(DAY(TODAY())&gt;=DAY($L142),1,0)))))</f>
        <v>0</v>
      </c>
      <c r="N142" s="72" t="str">
        <f aca="false">IF($J142="","",IF($G142="Pago",$J142,IF($G142="Reembolsado",0,IF($G142="Parcelado",IFERROR($J142/$K142*$M142,0),0))))</f>
        <v/>
      </c>
      <c r="O142" s="72" t="str">
        <f aca="false">IF($J142="","",IF($G142="Reembolsado",0,$J142-$N142))</f>
        <v/>
      </c>
      <c r="P142" s="78"/>
    </row>
    <row r="143" customFormat="false" ht="18" hidden="false" customHeight="true" outlineLevel="0" collapsed="false">
      <c r="A143" s="74"/>
      <c r="B143" s="68"/>
      <c r="C143" s="68"/>
      <c r="D143" s="68"/>
      <c r="E143" s="68"/>
      <c r="F143" s="68"/>
      <c r="G143" s="70"/>
      <c r="H143" s="70"/>
      <c r="I143" s="71"/>
      <c r="J143" s="72" t="str">
        <f aca="false">IF($I143="","",IFERROR($I143*INDEX(TAXAS,MATCH($H143,MOEDAS,0)),""))</f>
        <v/>
      </c>
      <c r="K143" s="73"/>
      <c r="L143" s="74"/>
      <c r="M143" s="75" t="n">
        <f aca="true">IF($G143&lt;&gt;"Parcelado",0,IF(OR($K143="",$L143=""),0,MIN($K143,MAX(0,(YEAR(TODAY())-YEAR($L143))*12+(MONTH(TODAY())-MONTH($L143))+IF(DAY(TODAY())&gt;=DAY($L143),1,0)))))</f>
        <v>0</v>
      </c>
      <c r="N143" s="72" t="str">
        <f aca="false">IF($J143="","",IF($G143="Pago",$J143,IF($G143="Reembolsado",0,IF($G143="Parcelado",IFERROR($J143/$K143*$M143,0),0))))</f>
        <v/>
      </c>
      <c r="O143" s="72" t="str">
        <f aca="false">IF($J143="","",IF($G143="Reembolsado",0,$J143-$N143))</f>
        <v/>
      </c>
      <c r="P143" s="68"/>
    </row>
    <row r="144" customFormat="false" ht="18" hidden="false" customHeight="true" outlineLevel="0" collapsed="false">
      <c r="A144" s="77"/>
      <c r="B144" s="78"/>
      <c r="C144" s="78"/>
      <c r="D144" s="78"/>
      <c r="E144" s="78"/>
      <c r="F144" s="78"/>
      <c r="G144" s="79"/>
      <c r="H144" s="79"/>
      <c r="I144" s="80"/>
      <c r="J144" s="72" t="str">
        <f aca="false">IF($I144="","",IFERROR($I144*INDEX(TAXAS,MATCH($H144,MOEDAS,0)),""))</f>
        <v/>
      </c>
      <c r="K144" s="81"/>
      <c r="L144" s="77"/>
      <c r="M144" s="75" t="n">
        <f aca="true">IF($G144&lt;&gt;"Parcelado",0,IF(OR($K144="",$L144=""),0,MIN($K144,MAX(0,(YEAR(TODAY())-YEAR($L144))*12+(MONTH(TODAY())-MONTH($L144))+IF(DAY(TODAY())&gt;=DAY($L144),1,0)))))</f>
        <v>0</v>
      </c>
      <c r="N144" s="72" t="str">
        <f aca="false">IF($J144="","",IF($G144="Pago",$J144,IF($G144="Reembolsado",0,IF($G144="Parcelado",IFERROR($J144/$K144*$M144,0),0))))</f>
        <v/>
      </c>
      <c r="O144" s="72" t="str">
        <f aca="false">IF($J144="","",IF($G144="Reembolsado",0,$J144-$N144))</f>
        <v/>
      </c>
      <c r="P144" s="78"/>
    </row>
    <row r="145" customFormat="false" ht="18" hidden="false" customHeight="true" outlineLevel="0" collapsed="false">
      <c r="A145" s="74"/>
      <c r="B145" s="68"/>
      <c r="C145" s="68"/>
      <c r="D145" s="68"/>
      <c r="E145" s="68"/>
      <c r="F145" s="68"/>
      <c r="G145" s="70"/>
      <c r="H145" s="70"/>
      <c r="I145" s="71"/>
      <c r="J145" s="72" t="str">
        <f aca="false">IF($I145="","",IFERROR($I145*INDEX(TAXAS,MATCH($H145,MOEDAS,0)),""))</f>
        <v/>
      </c>
      <c r="K145" s="73"/>
      <c r="L145" s="74"/>
      <c r="M145" s="75" t="n">
        <f aca="true">IF($G145&lt;&gt;"Parcelado",0,IF(OR($K145="",$L145=""),0,MIN($K145,MAX(0,(YEAR(TODAY())-YEAR($L145))*12+(MONTH(TODAY())-MONTH($L145))+IF(DAY(TODAY())&gt;=DAY($L145),1,0)))))</f>
        <v>0</v>
      </c>
      <c r="N145" s="72" t="str">
        <f aca="false">IF($J145="","",IF($G145="Pago",$J145,IF($G145="Reembolsado",0,IF($G145="Parcelado",IFERROR($J145/$K145*$M145,0),0))))</f>
        <v/>
      </c>
      <c r="O145" s="72" t="str">
        <f aca="false">IF($J145="","",IF($G145="Reembolsado",0,$J145-$N145))</f>
        <v/>
      </c>
      <c r="P145" s="68"/>
    </row>
    <row r="146" customFormat="false" ht="18" hidden="false" customHeight="true" outlineLevel="0" collapsed="false">
      <c r="A146" s="77"/>
      <c r="B146" s="78"/>
      <c r="C146" s="78"/>
      <c r="D146" s="78"/>
      <c r="E146" s="78"/>
      <c r="F146" s="78"/>
      <c r="G146" s="79"/>
      <c r="H146" s="79"/>
      <c r="I146" s="80"/>
      <c r="J146" s="72" t="str">
        <f aca="false">IF($I146="","",IFERROR($I146*INDEX(TAXAS,MATCH($H146,MOEDAS,0)),""))</f>
        <v/>
      </c>
      <c r="K146" s="81"/>
      <c r="L146" s="77"/>
      <c r="M146" s="75" t="n">
        <f aca="true">IF($G146&lt;&gt;"Parcelado",0,IF(OR($K146="",$L146=""),0,MIN($K146,MAX(0,(YEAR(TODAY())-YEAR($L146))*12+(MONTH(TODAY())-MONTH($L146))+IF(DAY(TODAY())&gt;=DAY($L146),1,0)))))</f>
        <v>0</v>
      </c>
      <c r="N146" s="72" t="str">
        <f aca="false">IF($J146="","",IF($G146="Pago",$J146,IF($G146="Reembolsado",0,IF($G146="Parcelado",IFERROR($J146/$K146*$M146,0),0))))</f>
        <v/>
      </c>
      <c r="O146" s="72" t="str">
        <f aca="false">IF($J146="","",IF($G146="Reembolsado",0,$J146-$N146))</f>
        <v/>
      </c>
      <c r="P146" s="78"/>
    </row>
    <row r="147" customFormat="false" ht="18" hidden="false" customHeight="true" outlineLevel="0" collapsed="false">
      <c r="A147" s="74"/>
      <c r="B147" s="68"/>
      <c r="C147" s="68"/>
      <c r="D147" s="68"/>
      <c r="E147" s="68"/>
      <c r="F147" s="68"/>
      <c r="G147" s="70"/>
      <c r="H147" s="70"/>
      <c r="I147" s="71"/>
      <c r="J147" s="72" t="str">
        <f aca="false">IF($I147="","",IFERROR($I147*INDEX(TAXAS,MATCH($H147,MOEDAS,0)),""))</f>
        <v/>
      </c>
      <c r="K147" s="73"/>
      <c r="L147" s="74"/>
      <c r="M147" s="75" t="n">
        <f aca="true">IF($G147&lt;&gt;"Parcelado",0,IF(OR($K147="",$L147=""),0,MIN($K147,MAX(0,(YEAR(TODAY())-YEAR($L147))*12+(MONTH(TODAY())-MONTH($L147))+IF(DAY(TODAY())&gt;=DAY($L147),1,0)))))</f>
        <v>0</v>
      </c>
      <c r="N147" s="72" t="str">
        <f aca="false">IF($J147="","",IF($G147="Pago",$J147,IF($G147="Reembolsado",0,IF($G147="Parcelado",IFERROR($J147/$K147*$M147,0),0))))</f>
        <v/>
      </c>
      <c r="O147" s="72" t="str">
        <f aca="false">IF($J147="","",IF($G147="Reembolsado",0,$J147-$N147))</f>
        <v/>
      </c>
      <c r="P147" s="68"/>
    </row>
    <row r="148" customFormat="false" ht="18" hidden="false" customHeight="true" outlineLevel="0" collapsed="false">
      <c r="A148" s="77"/>
      <c r="B148" s="78"/>
      <c r="C148" s="78"/>
      <c r="D148" s="78"/>
      <c r="E148" s="78"/>
      <c r="F148" s="78"/>
      <c r="G148" s="79"/>
      <c r="H148" s="79"/>
      <c r="I148" s="80"/>
      <c r="J148" s="72" t="str">
        <f aca="false">IF($I148="","",IFERROR($I148*INDEX(TAXAS,MATCH($H148,MOEDAS,0)),""))</f>
        <v/>
      </c>
      <c r="K148" s="81"/>
      <c r="L148" s="77"/>
      <c r="M148" s="75" t="n">
        <f aca="true">IF($G148&lt;&gt;"Parcelado",0,IF(OR($K148="",$L148=""),0,MIN($K148,MAX(0,(YEAR(TODAY())-YEAR($L148))*12+(MONTH(TODAY())-MONTH($L148))+IF(DAY(TODAY())&gt;=DAY($L148),1,0)))))</f>
        <v>0</v>
      </c>
      <c r="N148" s="72" t="str">
        <f aca="false">IF($J148="","",IF($G148="Pago",$J148,IF($G148="Reembolsado",0,IF($G148="Parcelado",IFERROR($J148/$K148*$M148,0),0))))</f>
        <v/>
      </c>
      <c r="O148" s="72" t="str">
        <f aca="false">IF($J148="","",IF($G148="Reembolsado",0,$J148-$N148))</f>
        <v/>
      </c>
      <c r="P148" s="78"/>
    </row>
    <row r="149" customFormat="false" ht="18" hidden="false" customHeight="true" outlineLevel="0" collapsed="false">
      <c r="A149" s="74"/>
      <c r="B149" s="68"/>
      <c r="C149" s="68"/>
      <c r="D149" s="68"/>
      <c r="E149" s="68"/>
      <c r="F149" s="68"/>
      <c r="G149" s="70"/>
      <c r="H149" s="70"/>
      <c r="I149" s="71"/>
      <c r="J149" s="72" t="str">
        <f aca="false">IF($I149="","",IFERROR($I149*INDEX(TAXAS,MATCH($H149,MOEDAS,0)),""))</f>
        <v/>
      </c>
      <c r="K149" s="73"/>
      <c r="L149" s="74"/>
      <c r="M149" s="75" t="n">
        <f aca="true">IF($G149&lt;&gt;"Parcelado",0,IF(OR($K149="",$L149=""),0,MIN($K149,MAX(0,(YEAR(TODAY())-YEAR($L149))*12+(MONTH(TODAY())-MONTH($L149))+IF(DAY(TODAY())&gt;=DAY($L149),1,0)))))</f>
        <v>0</v>
      </c>
      <c r="N149" s="72" t="str">
        <f aca="false">IF($J149="","",IF($G149="Pago",$J149,IF($G149="Reembolsado",0,IF($G149="Parcelado",IFERROR($J149/$K149*$M149,0),0))))</f>
        <v/>
      </c>
      <c r="O149" s="72" t="str">
        <f aca="false">IF($J149="","",IF($G149="Reembolsado",0,$J149-$N149))</f>
        <v/>
      </c>
      <c r="P149" s="68"/>
    </row>
    <row r="150" customFormat="false" ht="18" hidden="false" customHeight="true" outlineLevel="0" collapsed="false">
      <c r="A150" s="77"/>
      <c r="B150" s="78"/>
      <c r="C150" s="78"/>
      <c r="D150" s="78"/>
      <c r="E150" s="78"/>
      <c r="F150" s="78"/>
      <c r="G150" s="79"/>
      <c r="H150" s="79"/>
      <c r="I150" s="80"/>
      <c r="J150" s="72" t="str">
        <f aca="false">IF($I150="","",IFERROR($I150*INDEX(TAXAS,MATCH($H150,MOEDAS,0)),""))</f>
        <v/>
      </c>
      <c r="K150" s="81"/>
      <c r="L150" s="77"/>
      <c r="M150" s="75" t="n">
        <f aca="true">IF($G150&lt;&gt;"Parcelado",0,IF(OR($K150="",$L150=""),0,MIN($K150,MAX(0,(YEAR(TODAY())-YEAR($L150))*12+(MONTH(TODAY())-MONTH($L150))+IF(DAY(TODAY())&gt;=DAY($L150),1,0)))))</f>
        <v>0</v>
      </c>
      <c r="N150" s="72" t="str">
        <f aca="false">IF($J150="","",IF($G150="Pago",$J150,IF($G150="Reembolsado",0,IF($G150="Parcelado",IFERROR($J150/$K150*$M150,0),0))))</f>
        <v/>
      </c>
      <c r="O150" s="72" t="str">
        <f aca="false">IF($J150="","",IF($G150="Reembolsado",0,$J150-$N150))</f>
        <v/>
      </c>
      <c r="P150" s="78"/>
    </row>
    <row r="151" customFormat="false" ht="18" hidden="false" customHeight="true" outlineLevel="0" collapsed="false">
      <c r="A151" s="74"/>
      <c r="B151" s="68"/>
      <c r="C151" s="68"/>
      <c r="D151" s="68"/>
      <c r="E151" s="68"/>
      <c r="F151" s="68"/>
      <c r="G151" s="70"/>
      <c r="H151" s="70"/>
      <c r="I151" s="71"/>
      <c r="J151" s="72" t="str">
        <f aca="false">IF($I151="","",IFERROR($I151*INDEX(TAXAS,MATCH($H151,MOEDAS,0)),""))</f>
        <v/>
      </c>
      <c r="K151" s="73"/>
      <c r="L151" s="74"/>
      <c r="M151" s="75" t="n">
        <f aca="true">IF($G151&lt;&gt;"Parcelado",0,IF(OR($K151="",$L151=""),0,MIN($K151,MAX(0,(YEAR(TODAY())-YEAR($L151))*12+(MONTH(TODAY())-MONTH($L151))+IF(DAY(TODAY())&gt;=DAY($L151),1,0)))))</f>
        <v>0</v>
      </c>
      <c r="N151" s="72" t="str">
        <f aca="false">IF($J151="","",IF($G151="Pago",$J151,IF($G151="Reembolsado",0,IF($G151="Parcelado",IFERROR($J151/$K151*$M151,0),0))))</f>
        <v/>
      </c>
      <c r="O151" s="72" t="str">
        <f aca="false">IF($J151="","",IF($G151="Reembolsado",0,$J151-$N151))</f>
        <v/>
      </c>
      <c r="P151" s="68"/>
    </row>
    <row r="152" customFormat="false" ht="18" hidden="false" customHeight="true" outlineLevel="0" collapsed="false">
      <c r="A152" s="77"/>
      <c r="B152" s="78"/>
      <c r="C152" s="78"/>
      <c r="D152" s="78"/>
      <c r="E152" s="78"/>
      <c r="F152" s="78"/>
      <c r="G152" s="79"/>
      <c r="H152" s="79"/>
      <c r="I152" s="80"/>
      <c r="J152" s="72" t="str">
        <f aca="false">IF($I152="","",IFERROR($I152*INDEX(TAXAS,MATCH($H152,MOEDAS,0)),""))</f>
        <v/>
      </c>
      <c r="K152" s="81"/>
      <c r="L152" s="77"/>
      <c r="M152" s="75" t="n">
        <f aca="true">IF($G152&lt;&gt;"Parcelado",0,IF(OR($K152="",$L152=""),0,MIN($K152,MAX(0,(YEAR(TODAY())-YEAR($L152))*12+(MONTH(TODAY())-MONTH($L152))+IF(DAY(TODAY())&gt;=DAY($L152),1,0)))))</f>
        <v>0</v>
      </c>
      <c r="N152" s="72" t="str">
        <f aca="false">IF($J152="","",IF($G152="Pago",$J152,IF($G152="Reembolsado",0,IF($G152="Parcelado",IFERROR($J152/$K152*$M152,0),0))))</f>
        <v/>
      </c>
      <c r="O152" s="72" t="str">
        <f aca="false">IF($J152="","",IF($G152="Reembolsado",0,$J152-$N152))</f>
        <v/>
      </c>
      <c r="P152" s="78"/>
    </row>
    <row r="153" customFormat="false" ht="18" hidden="false" customHeight="true" outlineLevel="0" collapsed="false">
      <c r="A153" s="74"/>
      <c r="B153" s="68"/>
      <c r="C153" s="68"/>
      <c r="D153" s="68"/>
      <c r="E153" s="68"/>
      <c r="F153" s="68"/>
      <c r="G153" s="70"/>
      <c r="H153" s="70"/>
      <c r="I153" s="71"/>
      <c r="J153" s="72" t="str">
        <f aca="false">IF($I153="","",IFERROR($I153*INDEX(TAXAS,MATCH($H153,MOEDAS,0)),""))</f>
        <v/>
      </c>
      <c r="K153" s="73"/>
      <c r="L153" s="74"/>
      <c r="M153" s="75" t="n">
        <f aca="true">IF($G153&lt;&gt;"Parcelado",0,IF(OR($K153="",$L153=""),0,MIN($K153,MAX(0,(YEAR(TODAY())-YEAR($L153))*12+(MONTH(TODAY())-MONTH($L153))+IF(DAY(TODAY())&gt;=DAY($L153),1,0)))))</f>
        <v>0</v>
      </c>
      <c r="N153" s="72" t="str">
        <f aca="false">IF($J153="","",IF($G153="Pago",$J153,IF($G153="Reembolsado",0,IF($G153="Parcelado",IFERROR($J153/$K153*$M153,0),0))))</f>
        <v/>
      </c>
      <c r="O153" s="72" t="str">
        <f aca="false">IF($J153="","",IF($G153="Reembolsado",0,$J153-$N153))</f>
        <v/>
      </c>
      <c r="P153" s="68"/>
    </row>
    <row r="154" customFormat="false" ht="18" hidden="false" customHeight="true" outlineLevel="0" collapsed="false">
      <c r="A154" s="77"/>
      <c r="B154" s="78"/>
      <c r="C154" s="78"/>
      <c r="D154" s="78"/>
      <c r="E154" s="78"/>
      <c r="F154" s="78"/>
      <c r="G154" s="79"/>
      <c r="H154" s="79"/>
      <c r="I154" s="80"/>
      <c r="J154" s="72" t="str">
        <f aca="false">IF($I154="","",IFERROR($I154*INDEX(TAXAS,MATCH($H154,MOEDAS,0)),""))</f>
        <v/>
      </c>
      <c r="K154" s="81"/>
      <c r="L154" s="77"/>
      <c r="M154" s="75" t="n">
        <f aca="true">IF($G154&lt;&gt;"Parcelado",0,IF(OR($K154="",$L154=""),0,MIN($K154,MAX(0,(YEAR(TODAY())-YEAR($L154))*12+(MONTH(TODAY())-MONTH($L154))+IF(DAY(TODAY())&gt;=DAY($L154),1,0)))))</f>
        <v>0</v>
      </c>
      <c r="N154" s="72" t="str">
        <f aca="false">IF($J154="","",IF($G154="Pago",$J154,IF($G154="Reembolsado",0,IF($G154="Parcelado",IFERROR($J154/$K154*$M154,0),0))))</f>
        <v/>
      </c>
      <c r="O154" s="72" t="str">
        <f aca="false">IF($J154="","",IF($G154="Reembolsado",0,$J154-$N154))</f>
        <v/>
      </c>
      <c r="P154" s="78"/>
    </row>
    <row r="155" customFormat="false" ht="18" hidden="false" customHeight="true" outlineLevel="0" collapsed="false">
      <c r="A155" s="74"/>
      <c r="B155" s="68"/>
      <c r="C155" s="68"/>
      <c r="D155" s="68"/>
      <c r="E155" s="68"/>
      <c r="F155" s="68"/>
      <c r="G155" s="70"/>
      <c r="H155" s="70"/>
      <c r="I155" s="71"/>
      <c r="J155" s="72" t="str">
        <f aca="false">IF($I155="","",IFERROR($I155*INDEX(TAXAS,MATCH($H155,MOEDAS,0)),""))</f>
        <v/>
      </c>
      <c r="K155" s="73"/>
      <c r="L155" s="74"/>
      <c r="M155" s="75" t="n">
        <f aca="true">IF($G155&lt;&gt;"Parcelado",0,IF(OR($K155="",$L155=""),0,MIN($K155,MAX(0,(YEAR(TODAY())-YEAR($L155))*12+(MONTH(TODAY())-MONTH($L155))+IF(DAY(TODAY())&gt;=DAY($L155),1,0)))))</f>
        <v>0</v>
      </c>
      <c r="N155" s="72" t="str">
        <f aca="false">IF($J155="","",IF($G155="Pago",$J155,IF($G155="Reembolsado",0,IF($G155="Parcelado",IFERROR($J155/$K155*$M155,0),0))))</f>
        <v/>
      </c>
      <c r="O155" s="72" t="str">
        <f aca="false">IF($J155="","",IF($G155="Reembolsado",0,$J155-$N155))</f>
        <v/>
      </c>
      <c r="P155" s="68"/>
    </row>
    <row r="156" customFormat="false" ht="18" hidden="false" customHeight="true" outlineLevel="0" collapsed="false">
      <c r="A156" s="77"/>
      <c r="B156" s="78"/>
      <c r="C156" s="78"/>
      <c r="D156" s="78"/>
      <c r="E156" s="78"/>
      <c r="F156" s="78"/>
      <c r="G156" s="79"/>
      <c r="H156" s="79"/>
      <c r="I156" s="80"/>
      <c r="J156" s="72" t="str">
        <f aca="false">IF($I156="","",IFERROR($I156*INDEX(TAXAS,MATCH($H156,MOEDAS,0)),""))</f>
        <v/>
      </c>
      <c r="K156" s="81"/>
      <c r="L156" s="77"/>
      <c r="M156" s="75" t="n">
        <f aca="true">IF($G156&lt;&gt;"Parcelado",0,IF(OR($K156="",$L156=""),0,MIN($K156,MAX(0,(YEAR(TODAY())-YEAR($L156))*12+(MONTH(TODAY())-MONTH($L156))+IF(DAY(TODAY())&gt;=DAY($L156),1,0)))))</f>
        <v>0</v>
      </c>
      <c r="N156" s="72" t="str">
        <f aca="false">IF($J156="","",IF($G156="Pago",$J156,IF($G156="Reembolsado",0,IF($G156="Parcelado",IFERROR($J156/$K156*$M156,0),0))))</f>
        <v/>
      </c>
      <c r="O156" s="72" t="str">
        <f aca="false">IF($J156="","",IF($G156="Reembolsado",0,$J156-$N156))</f>
        <v/>
      </c>
      <c r="P156" s="78"/>
    </row>
    <row r="157" customFormat="false" ht="18" hidden="false" customHeight="true" outlineLevel="0" collapsed="false">
      <c r="A157" s="74"/>
      <c r="B157" s="68"/>
      <c r="C157" s="68"/>
      <c r="D157" s="68"/>
      <c r="E157" s="68"/>
      <c r="F157" s="68"/>
      <c r="G157" s="70"/>
      <c r="H157" s="70"/>
      <c r="I157" s="71"/>
      <c r="J157" s="72" t="str">
        <f aca="false">IF($I157="","",IFERROR($I157*INDEX(TAXAS,MATCH($H157,MOEDAS,0)),""))</f>
        <v/>
      </c>
      <c r="K157" s="73"/>
      <c r="L157" s="74"/>
      <c r="M157" s="75" t="n">
        <f aca="true">IF($G157&lt;&gt;"Parcelado",0,IF(OR($K157="",$L157=""),0,MIN($K157,MAX(0,(YEAR(TODAY())-YEAR($L157))*12+(MONTH(TODAY())-MONTH($L157))+IF(DAY(TODAY())&gt;=DAY($L157),1,0)))))</f>
        <v>0</v>
      </c>
      <c r="N157" s="72" t="str">
        <f aca="false">IF($J157="","",IF($G157="Pago",$J157,IF($G157="Reembolsado",0,IF($G157="Parcelado",IFERROR($J157/$K157*$M157,0),0))))</f>
        <v/>
      </c>
      <c r="O157" s="72" t="str">
        <f aca="false">IF($J157="","",IF($G157="Reembolsado",0,$J157-$N157))</f>
        <v/>
      </c>
      <c r="P157" s="68"/>
    </row>
    <row r="158" customFormat="false" ht="18" hidden="false" customHeight="true" outlineLevel="0" collapsed="false">
      <c r="A158" s="77"/>
      <c r="B158" s="78"/>
      <c r="C158" s="78"/>
      <c r="D158" s="78"/>
      <c r="E158" s="78"/>
      <c r="F158" s="78"/>
      <c r="G158" s="79"/>
      <c r="H158" s="79"/>
      <c r="I158" s="80"/>
      <c r="J158" s="72" t="str">
        <f aca="false">IF($I158="","",IFERROR($I158*INDEX(TAXAS,MATCH($H158,MOEDAS,0)),""))</f>
        <v/>
      </c>
      <c r="K158" s="81"/>
      <c r="L158" s="77"/>
      <c r="M158" s="75" t="n">
        <f aca="true">IF($G158&lt;&gt;"Parcelado",0,IF(OR($K158="",$L158=""),0,MIN($K158,MAX(0,(YEAR(TODAY())-YEAR($L158))*12+(MONTH(TODAY())-MONTH($L158))+IF(DAY(TODAY())&gt;=DAY($L158),1,0)))))</f>
        <v>0</v>
      </c>
      <c r="N158" s="72" t="str">
        <f aca="false">IF($J158="","",IF($G158="Pago",$J158,IF($G158="Reembolsado",0,IF($G158="Parcelado",IFERROR($J158/$K158*$M158,0),0))))</f>
        <v/>
      </c>
      <c r="O158" s="72" t="str">
        <f aca="false">IF($J158="","",IF($G158="Reembolsado",0,$J158-$N158))</f>
        <v/>
      </c>
      <c r="P158" s="78"/>
    </row>
    <row r="159" customFormat="false" ht="18" hidden="false" customHeight="true" outlineLevel="0" collapsed="false">
      <c r="A159" s="74"/>
      <c r="B159" s="68"/>
      <c r="C159" s="68"/>
      <c r="D159" s="68"/>
      <c r="E159" s="68"/>
      <c r="F159" s="68"/>
      <c r="G159" s="70"/>
      <c r="H159" s="70"/>
      <c r="I159" s="71"/>
      <c r="J159" s="72" t="str">
        <f aca="false">IF($I159="","",IFERROR($I159*INDEX(TAXAS,MATCH($H159,MOEDAS,0)),""))</f>
        <v/>
      </c>
      <c r="K159" s="73"/>
      <c r="L159" s="74"/>
      <c r="M159" s="75" t="n">
        <f aca="true">IF($G159&lt;&gt;"Parcelado",0,IF(OR($K159="",$L159=""),0,MIN($K159,MAX(0,(YEAR(TODAY())-YEAR($L159))*12+(MONTH(TODAY())-MONTH($L159))+IF(DAY(TODAY())&gt;=DAY($L159),1,0)))))</f>
        <v>0</v>
      </c>
      <c r="N159" s="72" t="str">
        <f aca="false">IF($J159="","",IF($G159="Pago",$J159,IF($G159="Reembolsado",0,IF($G159="Parcelado",IFERROR($J159/$K159*$M159,0),0))))</f>
        <v/>
      </c>
      <c r="O159" s="72" t="str">
        <f aca="false">IF($J159="","",IF($G159="Reembolsado",0,$J159-$N159))</f>
        <v/>
      </c>
      <c r="P159" s="68"/>
    </row>
    <row r="160" customFormat="false" ht="18" hidden="false" customHeight="true" outlineLevel="0" collapsed="false">
      <c r="A160" s="77"/>
      <c r="B160" s="78"/>
      <c r="C160" s="78"/>
      <c r="D160" s="78"/>
      <c r="E160" s="78"/>
      <c r="F160" s="78"/>
      <c r="G160" s="79"/>
      <c r="H160" s="79"/>
      <c r="I160" s="80"/>
      <c r="J160" s="72" t="str">
        <f aca="false">IF($I160="","",IFERROR($I160*INDEX(TAXAS,MATCH($H160,MOEDAS,0)),""))</f>
        <v/>
      </c>
      <c r="K160" s="81"/>
      <c r="L160" s="77"/>
      <c r="M160" s="75" t="n">
        <f aca="true">IF($G160&lt;&gt;"Parcelado",0,IF(OR($K160="",$L160=""),0,MIN($K160,MAX(0,(YEAR(TODAY())-YEAR($L160))*12+(MONTH(TODAY())-MONTH($L160))+IF(DAY(TODAY())&gt;=DAY($L160),1,0)))))</f>
        <v>0</v>
      </c>
      <c r="N160" s="72" t="str">
        <f aca="false">IF($J160="","",IF($G160="Pago",$J160,IF($G160="Reembolsado",0,IF($G160="Parcelado",IFERROR($J160/$K160*$M160,0),0))))</f>
        <v/>
      </c>
      <c r="O160" s="72" t="str">
        <f aca="false">IF($J160="","",IF($G160="Reembolsado",0,$J160-$N160))</f>
        <v/>
      </c>
      <c r="P160" s="78"/>
    </row>
    <row r="161" customFormat="false" ht="18" hidden="false" customHeight="true" outlineLevel="0" collapsed="false">
      <c r="A161" s="74"/>
      <c r="B161" s="68"/>
      <c r="C161" s="68"/>
      <c r="D161" s="68"/>
      <c r="E161" s="68"/>
      <c r="F161" s="68"/>
      <c r="G161" s="70"/>
      <c r="H161" s="70"/>
      <c r="I161" s="71"/>
      <c r="J161" s="72" t="str">
        <f aca="false">IF($I161="","",IFERROR($I161*INDEX(TAXAS,MATCH($H161,MOEDAS,0)),""))</f>
        <v/>
      </c>
      <c r="K161" s="73"/>
      <c r="L161" s="74"/>
      <c r="M161" s="75" t="n">
        <f aca="true">IF($G161&lt;&gt;"Parcelado",0,IF(OR($K161="",$L161=""),0,MIN($K161,MAX(0,(YEAR(TODAY())-YEAR($L161))*12+(MONTH(TODAY())-MONTH($L161))+IF(DAY(TODAY())&gt;=DAY($L161),1,0)))))</f>
        <v>0</v>
      </c>
      <c r="N161" s="72" t="str">
        <f aca="false">IF($J161="","",IF($G161="Pago",$J161,IF($G161="Reembolsado",0,IF($G161="Parcelado",IFERROR($J161/$K161*$M161,0),0))))</f>
        <v/>
      </c>
      <c r="O161" s="72" t="str">
        <f aca="false">IF($J161="","",IF($G161="Reembolsado",0,$J161-$N161))</f>
        <v/>
      </c>
      <c r="P161" s="68"/>
    </row>
    <row r="162" customFormat="false" ht="18" hidden="false" customHeight="true" outlineLevel="0" collapsed="false">
      <c r="A162" s="77"/>
      <c r="B162" s="78"/>
      <c r="C162" s="78"/>
      <c r="D162" s="78"/>
      <c r="E162" s="78"/>
      <c r="F162" s="78"/>
      <c r="G162" s="79"/>
      <c r="H162" s="79"/>
      <c r="I162" s="80"/>
      <c r="J162" s="72" t="str">
        <f aca="false">IF($I162="","",IFERROR($I162*INDEX(TAXAS,MATCH($H162,MOEDAS,0)),""))</f>
        <v/>
      </c>
      <c r="K162" s="81"/>
      <c r="L162" s="77"/>
      <c r="M162" s="75" t="n">
        <f aca="true">IF($G162&lt;&gt;"Parcelado",0,IF(OR($K162="",$L162=""),0,MIN($K162,MAX(0,(YEAR(TODAY())-YEAR($L162))*12+(MONTH(TODAY())-MONTH($L162))+IF(DAY(TODAY())&gt;=DAY($L162),1,0)))))</f>
        <v>0</v>
      </c>
      <c r="N162" s="72" t="str">
        <f aca="false">IF($J162="","",IF($G162="Pago",$J162,IF($G162="Reembolsado",0,IF($G162="Parcelado",IFERROR($J162/$K162*$M162,0),0))))</f>
        <v/>
      </c>
      <c r="O162" s="72" t="str">
        <f aca="false">IF($J162="","",IF($G162="Reembolsado",0,$J162-$N162))</f>
        <v/>
      </c>
      <c r="P162" s="78"/>
    </row>
    <row r="163" customFormat="false" ht="18" hidden="false" customHeight="true" outlineLevel="0" collapsed="false">
      <c r="A163" s="74"/>
      <c r="B163" s="68"/>
      <c r="C163" s="68"/>
      <c r="D163" s="68"/>
      <c r="E163" s="68"/>
      <c r="F163" s="68"/>
      <c r="G163" s="70"/>
      <c r="H163" s="70"/>
      <c r="I163" s="71"/>
      <c r="J163" s="72" t="str">
        <f aca="false">IF($I163="","",IFERROR($I163*INDEX(TAXAS,MATCH($H163,MOEDAS,0)),""))</f>
        <v/>
      </c>
      <c r="K163" s="73"/>
      <c r="L163" s="74"/>
      <c r="M163" s="75" t="n">
        <f aca="true">IF($G163&lt;&gt;"Parcelado",0,IF(OR($K163="",$L163=""),0,MIN($K163,MAX(0,(YEAR(TODAY())-YEAR($L163))*12+(MONTH(TODAY())-MONTH($L163))+IF(DAY(TODAY())&gt;=DAY($L163),1,0)))))</f>
        <v>0</v>
      </c>
      <c r="N163" s="72" t="str">
        <f aca="false">IF($J163="","",IF($G163="Pago",$J163,IF($G163="Reembolsado",0,IF($G163="Parcelado",IFERROR($J163/$K163*$M163,0),0))))</f>
        <v/>
      </c>
      <c r="O163" s="72" t="str">
        <f aca="false">IF($J163="","",IF($G163="Reembolsado",0,$J163-$N163))</f>
        <v/>
      </c>
      <c r="P163" s="68"/>
    </row>
    <row r="164" customFormat="false" ht="18" hidden="false" customHeight="true" outlineLevel="0" collapsed="false">
      <c r="A164" s="77"/>
      <c r="B164" s="78"/>
      <c r="C164" s="78"/>
      <c r="D164" s="78"/>
      <c r="E164" s="78"/>
      <c r="F164" s="78"/>
      <c r="G164" s="79"/>
      <c r="H164" s="79"/>
      <c r="I164" s="80"/>
      <c r="J164" s="72" t="str">
        <f aca="false">IF($I164="","",IFERROR($I164*INDEX(TAXAS,MATCH($H164,MOEDAS,0)),""))</f>
        <v/>
      </c>
      <c r="K164" s="81"/>
      <c r="L164" s="77"/>
      <c r="M164" s="75" t="n">
        <f aca="true">IF($G164&lt;&gt;"Parcelado",0,IF(OR($K164="",$L164=""),0,MIN($K164,MAX(0,(YEAR(TODAY())-YEAR($L164))*12+(MONTH(TODAY())-MONTH($L164))+IF(DAY(TODAY())&gt;=DAY($L164),1,0)))))</f>
        <v>0</v>
      </c>
      <c r="N164" s="72" t="str">
        <f aca="false">IF($J164="","",IF($G164="Pago",$J164,IF($G164="Reembolsado",0,IF($G164="Parcelado",IFERROR($J164/$K164*$M164,0),0))))</f>
        <v/>
      </c>
      <c r="O164" s="72" t="str">
        <f aca="false">IF($J164="","",IF($G164="Reembolsado",0,$J164-$N164))</f>
        <v/>
      </c>
      <c r="P164" s="78"/>
    </row>
    <row r="165" customFormat="false" ht="18" hidden="false" customHeight="true" outlineLevel="0" collapsed="false">
      <c r="A165" s="74"/>
      <c r="B165" s="68"/>
      <c r="C165" s="68"/>
      <c r="D165" s="68"/>
      <c r="E165" s="68"/>
      <c r="F165" s="68"/>
      <c r="G165" s="70"/>
      <c r="H165" s="70"/>
      <c r="I165" s="71"/>
      <c r="J165" s="72" t="str">
        <f aca="false">IF($I165="","",IFERROR($I165*INDEX(TAXAS,MATCH($H165,MOEDAS,0)),""))</f>
        <v/>
      </c>
      <c r="K165" s="73"/>
      <c r="L165" s="74"/>
      <c r="M165" s="75" t="n">
        <f aca="true">IF($G165&lt;&gt;"Parcelado",0,IF(OR($K165="",$L165=""),0,MIN($K165,MAX(0,(YEAR(TODAY())-YEAR($L165))*12+(MONTH(TODAY())-MONTH($L165))+IF(DAY(TODAY())&gt;=DAY($L165),1,0)))))</f>
        <v>0</v>
      </c>
      <c r="N165" s="72" t="str">
        <f aca="false">IF($J165="","",IF($G165="Pago",$J165,IF($G165="Reembolsado",0,IF($G165="Parcelado",IFERROR($J165/$K165*$M165,0),0))))</f>
        <v/>
      </c>
      <c r="O165" s="72" t="str">
        <f aca="false">IF($J165="","",IF($G165="Reembolsado",0,$J165-$N165))</f>
        <v/>
      </c>
      <c r="P165" s="68"/>
    </row>
    <row r="166" customFormat="false" ht="18" hidden="false" customHeight="true" outlineLevel="0" collapsed="false">
      <c r="A166" s="77"/>
      <c r="B166" s="78"/>
      <c r="C166" s="78"/>
      <c r="D166" s="78"/>
      <c r="E166" s="78"/>
      <c r="F166" s="78"/>
      <c r="G166" s="79"/>
      <c r="H166" s="79"/>
      <c r="I166" s="80"/>
      <c r="J166" s="72" t="str">
        <f aca="false">IF($I166="","",IFERROR($I166*INDEX(TAXAS,MATCH($H166,MOEDAS,0)),""))</f>
        <v/>
      </c>
      <c r="K166" s="81"/>
      <c r="L166" s="77"/>
      <c r="M166" s="75" t="n">
        <f aca="true">IF($G166&lt;&gt;"Parcelado",0,IF(OR($K166="",$L166=""),0,MIN($K166,MAX(0,(YEAR(TODAY())-YEAR($L166))*12+(MONTH(TODAY())-MONTH($L166))+IF(DAY(TODAY())&gt;=DAY($L166),1,0)))))</f>
        <v>0</v>
      </c>
      <c r="N166" s="72" t="str">
        <f aca="false">IF($J166="","",IF($G166="Pago",$J166,IF($G166="Reembolsado",0,IF($G166="Parcelado",IFERROR($J166/$K166*$M166,0),0))))</f>
        <v/>
      </c>
      <c r="O166" s="72" t="str">
        <f aca="false">IF($J166="","",IF($G166="Reembolsado",0,$J166-$N166))</f>
        <v/>
      </c>
      <c r="P166" s="78"/>
    </row>
    <row r="167" customFormat="false" ht="18" hidden="false" customHeight="true" outlineLevel="0" collapsed="false">
      <c r="A167" s="74"/>
      <c r="B167" s="68"/>
      <c r="C167" s="68"/>
      <c r="D167" s="68"/>
      <c r="E167" s="68"/>
      <c r="F167" s="68"/>
      <c r="G167" s="70"/>
      <c r="H167" s="70"/>
      <c r="I167" s="71"/>
      <c r="J167" s="72" t="str">
        <f aca="false">IF($I167="","",IFERROR($I167*INDEX(TAXAS,MATCH($H167,MOEDAS,0)),""))</f>
        <v/>
      </c>
      <c r="K167" s="73"/>
      <c r="L167" s="74"/>
      <c r="M167" s="75" t="n">
        <f aca="true">IF($G167&lt;&gt;"Parcelado",0,IF(OR($K167="",$L167=""),0,MIN($K167,MAX(0,(YEAR(TODAY())-YEAR($L167))*12+(MONTH(TODAY())-MONTH($L167))+IF(DAY(TODAY())&gt;=DAY($L167),1,0)))))</f>
        <v>0</v>
      </c>
      <c r="N167" s="72" t="str">
        <f aca="false">IF($J167="","",IF($G167="Pago",$J167,IF($G167="Reembolsado",0,IF($G167="Parcelado",IFERROR($J167/$K167*$M167,0),0))))</f>
        <v/>
      </c>
      <c r="O167" s="72" t="str">
        <f aca="false">IF($J167="","",IF($G167="Reembolsado",0,$J167-$N167))</f>
        <v/>
      </c>
      <c r="P167" s="68"/>
    </row>
    <row r="168" customFormat="false" ht="18" hidden="false" customHeight="true" outlineLevel="0" collapsed="false">
      <c r="A168" s="77"/>
      <c r="B168" s="78"/>
      <c r="C168" s="78"/>
      <c r="D168" s="78"/>
      <c r="E168" s="78"/>
      <c r="F168" s="78"/>
      <c r="G168" s="79"/>
      <c r="H168" s="79"/>
      <c r="I168" s="80"/>
      <c r="J168" s="72" t="str">
        <f aca="false">IF($I168="","",IFERROR($I168*INDEX(TAXAS,MATCH($H168,MOEDAS,0)),""))</f>
        <v/>
      </c>
      <c r="K168" s="81"/>
      <c r="L168" s="77"/>
      <c r="M168" s="75" t="n">
        <f aca="true">IF($G168&lt;&gt;"Parcelado",0,IF(OR($K168="",$L168=""),0,MIN($K168,MAX(0,(YEAR(TODAY())-YEAR($L168))*12+(MONTH(TODAY())-MONTH($L168))+IF(DAY(TODAY())&gt;=DAY($L168),1,0)))))</f>
        <v>0</v>
      </c>
      <c r="N168" s="72" t="str">
        <f aca="false">IF($J168="","",IF($G168="Pago",$J168,IF($G168="Reembolsado",0,IF($G168="Parcelado",IFERROR($J168/$K168*$M168,0),0))))</f>
        <v/>
      </c>
      <c r="O168" s="72" t="str">
        <f aca="false">IF($J168="","",IF($G168="Reembolsado",0,$J168-$N168))</f>
        <v/>
      </c>
      <c r="P168" s="78"/>
    </row>
    <row r="169" customFormat="false" ht="18" hidden="false" customHeight="true" outlineLevel="0" collapsed="false">
      <c r="A169" s="74"/>
      <c r="B169" s="68"/>
      <c r="C169" s="68"/>
      <c r="D169" s="68"/>
      <c r="E169" s="68"/>
      <c r="F169" s="68"/>
      <c r="G169" s="70"/>
      <c r="H169" s="70"/>
      <c r="I169" s="71"/>
      <c r="J169" s="72" t="str">
        <f aca="false">IF($I169="","",IFERROR($I169*INDEX(TAXAS,MATCH($H169,MOEDAS,0)),""))</f>
        <v/>
      </c>
      <c r="K169" s="73"/>
      <c r="L169" s="74"/>
      <c r="M169" s="75" t="n">
        <f aca="true">IF($G169&lt;&gt;"Parcelado",0,IF(OR($K169="",$L169=""),0,MIN($K169,MAX(0,(YEAR(TODAY())-YEAR($L169))*12+(MONTH(TODAY())-MONTH($L169))+IF(DAY(TODAY())&gt;=DAY($L169),1,0)))))</f>
        <v>0</v>
      </c>
      <c r="N169" s="72" t="str">
        <f aca="false">IF($J169="","",IF($G169="Pago",$J169,IF($G169="Reembolsado",0,IF($G169="Parcelado",IFERROR($J169/$K169*$M169,0),0))))</f>
        <v/>
      </c>
      <c r="O169" s="72" t="str">
        <f aca="false">IF($J169="","",IF($G169="Reembolsado",0,$J169-$N169))</f>
        <v/>
      </c>
      <c r="P169" s="68"/>
    </row>
    <row r="170" customFormat="false" ht="18" hidden="false" customHeight="true" outlineLevel="0" collapsed="false">
      <c r="A170" s="77"/>
      <c r="B170" s="78"/>
      <c r="C170" s="78"/>
      <c r="D170" s="78"/>
      <c r="E170" s="78"/>
      <c r="F170" s="78"/>
      <c r="G170" s="79"/>
      <c r="H170" s="79"/>
      <c r="I170" s="80"/>
      <c r="J170" s="72" t="str">
        <f aca="false">IF($I170="","",IFERROR($I170*INDEX(TAXAS,MATCH($H170,MOEDAS,0)),""))</f>
        <v/>
      </c>
      <c r="K170" s="81"/>
      <c r="L170" s="77"/>
      <c r="M170" s="75" t="n">
        <f aca="true">IF($G170&lt;&gt;"Parcelado",0,IF(OR($K170="",$L170=""),0,MIN($K170,MAX(0,(YEAR(TODAY())-YEAR($L170))*12+(MONTH(TODAY())-MONTH($L170))+IF(DAY(TODAY())&gt;=DAY($L170),1,0)))))</f>
        <v>0</v>
      </c>
      <c r="N170" s="72" t="str">
        <f aca="false">IF($J170="","",IF($G170="Pago",$J170,IF($G170="Reembolsado",0,IF($G170="Parcelado",IFERROR($J170/$K170*$M170,0),0))))</f>
        <v/>
      </c>
      <c r="O170" s="72" t="str">
        <f aca="false">IF($J170="","",IF($G170="Reembolsado",0,$J170-$N170))</f>
        <v/>
      </c>
      <c r="P170" s="78"/>
    </row>
    <row r="171" customFormat="false" ht="18" hidden="false" customHeight="true" outlineLevel="0" collapsed="false">
      <c r="A171" s="74"/>
      <c r="B171" s="68"/>
      <c r="C171" s="68"/>
      <c r="D171" s="68"/>
      <c r="E171" s="68"/>
      <c r="F171" s="68"/>
      <c r="G171" s="70"/>
      <c r="H171" s="70"/>
      <c r="I171" s="71"/>
      <c r="J171" s="72" t="str">
        <f aca="false">IF($I171="","",IFERROR($I171*INDEX(TAXAS,MATCH($H171,MOEDAS,0)),""))</f>
        <v/>
      </c>
      <c r="K171" s="73"/>
      <c r="L171" s="74"/>
      <c r="M171" s="75" t="n">
        <f aca="true">IF($G171&lt;&gt;"Parcelado",0,IF(OR($K171="",$L171=""),0,MIN($K171,MAX(0,(YEAR(TODAY())-YEAR($L171))*12+(MONTH(TODAY())-MONTH($L171))+IF(DAY(TODAY())&gt;=DAY($L171),1,0)))))</f>
        <v>0</v>
      </c>
      <c r="N171" s="72" t="str">
        <f aca="false">IF($J171="","",IF($G171="Pago",$J171,IF($G171="Reembolsado",0,IF($G171="Parcelado",IFERROR($J171/$K171*$M171,0),0))))</f>
        <v/>
      </c>
      <c r="O171" s="72" t="str">
        <f aca="false">IF($J171="","",IF($G171="Reembolsado",0,$J171-$N171))</f>
        <v/>
      </c>
      <c r="P171" s="68"/>
    </row>
    <row r="172" customFormat="false" ht="18" hidden="false" customHeight="true" outlineLevel="0" collapsed="false">
      <c r="A172" s="77"/>
      <c r="B172" s="78"/>
      <c r="C172" s="78"/>
      <c r="D172" s="78"/>
      <c r="E172" s="78"/>
      <c r="F172" s="78"/>
      <c r="G172" s="79"/>
      <c r="H172" s="79"/>
      <c r="I172" s="80"/>
      <c r="J172" s="72" t="str">
        <f aca="false">IF($I172="","",IFERROR($I172*INDEX(TAXAS,MATCH($H172,MOEDAS,0)),""))</f>
        <v/>
      </c>
      <c r="K172" s="81"/>
      <c r="L172" s="77"/>
      <c r="M172" s="75" t="n">
        <f aca="true">IF($G172&lt;&gt;"Parcelado",0,IF(OR($K172="",$L172=""),0,MIN($K172,MAX(0,(YEAR(TODAY())-YEAR($L172))*12+(MONTH(TODAY())-MONTH($L172))+IF(DAY(TODAY())&gt;=DAY($L172),1,0)))))</f>
        <v>0</v>
      </c>
      <c r="N172" s="72" t="str">
        <f aca="false">IF($J172="","",IF($G172="Pago",$J172,IF($G172="Reembolsado",0,IF($G172="Parcelado",IFERROR($J172/$K172*$M172,0),0))))</f>
        <v/>
      </c>
      <c r="O172" s="72" t="str">
        <f aca="false">IF($J172="","",IF($G172="Reembolsado",0,$J172-$N172))</f>
        <v/>
      </c>
      <c r="P172" s="78"/>
    </row>
    <row r="173" customFormat="false" ht="18" hidden="false" customHeight="true" outlineLevel="0" collapsed="false">
      <c r="A173" s="74"/>
      <c r="B173" s="68"/>
      <c r="C173" s="68"/>
      <c r="D173" s="68"/>
      <c r="E173" s="68"/>
      <c r="F173" s="68"/>
      <c r="G173" s="70"/>
      <c r="H173" s="70"/>
      <c r="I173" s="71"/>
      <c r="J173" s="72" t="str">
        <f aca="false">IF($I173="","",IFERROR($I173*INDEX(TAXAS,MATCH($H173,MOEDAS,0)),""))</f>
        <v/>
      </c>
      <c r="K173" s="73"/>
      <c r="L173" s="74"/>
      <c r="M173" s="75" t="n">
        <f aca="true">IF($G173&lt;&gt;"Parcelado",0,IF(OR($K173="",$L173=""),0,MIN($K173,MAX(0,(YEAR(TODAY())-YEAR($L173))*12+(MONTH(TODAY())-MONTH($L173))+IF(DAY(TODAY())&gt;=DAY($L173),1,0)))))</f>
        <v>0</v>
      </c>
      <c r="N173" s="72" t="str">
        <f aca="false">IF($J173="","",IF($G173="Pago",$J173,IF($G173="Reembolsado",0,IF($G173="Parcelado",IFERROR($J173/$K173*$M173,0),0))))</f>
        <v/>
      </c>
      <c r="O173" s="72" t="str">
        <f aca="false">IF($J173="","",IF($G173="Reembolsado",0,$J173-$N173))</f>
        <v/>
      </c>
      <c r="P173" s="68"/>
    </row>
    <row r="174" customFormat="false" ht="18" hidden="false" customHeight="true" outlineLevel="0" collapsed="false">
      <c r="A174" s="77"/>
      <c r="B174" s="78"/>
      <c r="C174" s="78"/>
      <c r="D174" s="78"/>
      <c r="E174" s="78"/>
      <c r="F174" s="78"/>
      <c r="G174" s="79"/>
      <c r="H174" s="79"/>
      <c r="I174" s="80"/>
      <c r="J174" s="72" t="str">
        <f aca="false">IF($I174="","",IFERROR($I174*INDEX(TAXAS,MATCH($H174,MOEDAS,0)),""))</f>
        <v/>
      </c>
      <c r="K174" s="81"/>
      <c r="L174" s="77"/>
      <c r="M174" s="75" t="n">
        <f aca="true">IF($G174&lt;&gt;"Parcelado",0,IF(OR($K174="",$L174=""),0,MIN($K174,MAX(0,(YEAR(TODAY())-YEAR($L174))*12+(MONTH(TODAY())-MONTH($L174))+IF(DAY(TODAY())&gt;=DAY($L174),1,0)))))</f>
        <v>0</v>
      </c>
      <c r="N174" s="72" t="str">
        <f aca="false">IF($J174="","",IF($G174="Pago",$J174,IF($G174="Reembolsado",0,IF($G174="Parcelado",IFERROR($J174/$K174*$M174,0),0))))</f>
        <v/>
      </c>
      <c r="O174" s="72" t="str">
        <f aca="false">IF($J174="","",IF($G174="Reembolsado",0,$J174-$N174))</f>
        <v/>
      </c>
      <c r="P174" s="78"/>
    </row>
    <row r="175" customFormat="false" ht="18" hidden="false" customHeight="true" outlineLevel="0" collapsed="false">
      <c r="A175" s="74"/>
      <c r="B175" s="68"/>
      <c r="C175" s="68"/>
      <c r="D175" s="68"/>
      <c r="E175" s="68"/>
      <c r="F175" s="68"/>
      <c r="G175" s="70"/>
      <c r="H175" s="70"/>
      <c r="I175" s="71"/>
      <c r="J175" s="72" t="str">
        <f aca="false">IF($I175="","",IFERROR($I175*INDEX(TAXAS,MATCH($H175,MOEDAS,0)),""))</f>
        <v/>
      </c>
      <c r="K175" s="73"/>
      <c r="L175" s="74"/>
      <c r="M175" s="75" t="n">
        <f aca="true">IF($G175&lt;&gt;"Parcelado",0,IF(OR($K175="",$L175=""),0,MIN($K175,MAX(0,(YEAR(TODAY())-YEAR($L175))*12+(MONTH(TODAY())-MONTH($L175))+IF(DAY(TODAY())&gt;=DAY($L175),1,0)))))</f>
        <v>0</v>
      </c>
      <c r="N175" s="72" t="str">
        <f aca="false">IF($J175="","",IF($G175="Pago",$J175,IF($G175="Reembolsado",0,IF($G175="Parcelado",IFERROR($J175/$K175*$M175,0),0))))</f>
        <v/>
      </c>
      <c r="O175" s="72" t="str">
        <f aca="false">IF($J175="","",IF($G175="Reembolsado",0,$J175-$N175))</f>
        <v/>
      </c>
      <c r="P175" s="68"/>
    </row>
    <row r="176" customFormat="false" ht="18" hidden="false" customHeight="true" outlineLevel="0" collapsed="false">
      <c r="A176" s="77"/>
      <c r="B176" s="78"/>
      <c r="C176" s="78"/>
      <c r="D176" s="78"/>
      <c r="E176" s="78"/>
      <c r="F176" s="78"/>
      <c r="G176" s="79"/>
      <c r="H176" s="79"/>
      <c r="I176" s="80"/>
      <c r="J176" s="72" t="str">
        <f aca="false">IF($I176="","",IFERROR($I176*INDEX(TAXAS,MATCH($H176,MOEDAS,0)),""))</f>
        <v/>
      </c>
      <c r="K176" s="81"/>
      <c r="L176" s="77"/>
      <c r="M176" s="75" t="n">
        <f aca="true">IF($G176&lt;&gt;"Parcelado",0,IF(OR($K176="",$L176=""),0,MIN($K176,MAX(0,(YEAR(TODAY())-YEAR($L176))*12+(MONTH(TODAY())-MONTH($L176))+IF(DAY(TODAY())&gt;=DAY($L176),1,0)))))</f>
        <v>0</v>
      </c>
      <c r="N176" s="72" t="str">
        <f aca="false">IF($J176="","",IF($G176="Pago",$J176,IF($G176="Reembolsado",0,IF($G176="Parcelado",IFERROR($J176/$K176*$M176,0),0))))</f>
        <v/>
      </c>
      <c r="O176" s="72" t="str">
        <f aca="false">IF($J176="","",IF($G176="Reembolsado",0,$J176-$N176))</f>
        <v/>
      </c>
      <c r="P176" s="78"/>
    </row>
    <row r="177" customFormat="false" ht="18" hidden="false" customHeight="true" outlineLevel="0" collapsed="false">
      <c r="A177" s="74"/>
      <c r="B177" s="68"/>
      <c r="C177" s="68"/>
      <c r="D177" s="68"/>
      <c r="E177" s="68"/>
      <c r="F177" s="68"/>
      <c r="G177" s="70"/>
      <c r="H177" s="70"/>
      <c r="I177" s="71"/>
      <c r="J177" s="72" t="str">
        <f aca="false">IF($I177="","",IFERROR($I177*INDEX(TAXAS,MATCH($H177,MOEDAS,0)),""))</f>
        <v/>
      </c>
      <c r="K177" s="73"/>
      <c r="L177" s="74"/>
      <c r="M177" s="75" t="n">
        <f aca="true">IF($G177&lt;&gt;"Parcelado",0,IF(OR($K177="",$L177=""),0,MIN($K177,MAX(0,(YEAR(TODAY())-YEAR($L177))*12+(MONTH(TODAY())-MONTH($L177))+IF(DAY(TODAY())&gt;=DAY($L177),1,0)))))</f>
        <v>0</v>
      </c>
      <c r="N177" s="72" t="str">
        <f aca="false">IF($J177="","",IF($G177="Pago",$J177,IF($G177="Reembolsado",0,IF($G177="Parcelado",IFERROR($J177/$K177*$M177,0),0))))</f>
        <v/>
      </c>
      <c r="O177" s="72" t="str">
        <f aca="false">IF($J177="","",IF($G177="Reembolsado",0,$J177-$N177))</f>
        <v/>
      </c>
      <c r="P177" s="68"/>
    </row>
    <row r="178" customFormat="false" ht="18" hidden="false" customHeight="true" outlineLevel="0" collapsed="false">
      <c r="A178" s="77"/>
      <c r="B178" s="78"/>
      <c r="C178" s="78"/>
      <c r="D178" s="78"/>
      <c r="E178" s="78"/>
      <c r="F178" s="78"/>
      <c r="G178" s="79"/>
      <c r="H178" s="79"/>
      <c r="I178" s="80"/>
      <c r="J178" s="72" t="str">
        <f aca="false">IF($I178="","",IFERROR($I178*INDEX(TAXAS,MATCH($H178,MOEDAS,0)),""))</f>
        <v/>
      </c>
      <c r="K178" s="81"/>
      <c r="L178" s="77"/>
      <c r="M178" s="75" t="n">
        <f aca="true">IF($G178&lt;&gt;"Parcelado",0,IF(OR($K178="",$L178=""),0,MIN($K178,MAX(0,(YEAR(TODAY())-YEAR($L178))*12+(MONTH(TODAY())-MONTH($L178))+IF(DAY(TODAY())&gt;=DAY($L178),1,0)))))</f>
        <v>0</v>
      </c>
      <c r="N178" s="72" t="str">
        <f aca="false">IF($J178="","",IF($G178="Pago",$J178,IF($G178="Reembolsado",0,IF($G178="Parcelado",IFERROR($J178/$K178*$M178,0),0))))</f>
        <v/>
      </c>
      <c r="O178" s="72" t="str">
        <f aca="false">IF($J178="","",IF($G178="Reembolsado",0,$J178-$N178))</f>
        <v/>
      </c>
      <c r="P178" s="78"/>
    </row>
    <row r="179" customFormat="false" ht="18" hidden="false" customHeight="true" outlineLevel="0" collapsed="false">
      <c r="A179" s="74"/>
      <c r="B179" s="68"/>
      <c r="C179" s="68"/>
      <c r="D179" s="68"/>
      <c r="E179" s="68"/>
      <c r="F179" s="68"/>
      <c r="G179" s="70"/>
      <c r="H179" s="70"/>
      <c r="I179" s="71"/>
      <c r="J179" s="72" t="str">
        <f aca="false">IF($I179="","",IFERROR($I179*INDEX(TAXAS,MATCH($H179,MOEDAS,0)),""))</f>
        <v/>
      </c>
      <c r="K179" s="73"/>
      <c r="L179" s="74"/>
      <c r="M179" s="75" t="n">
        <f aca="true">IF($G179&lt;&gt;"Parcelado",0,IF(OR($K179="",$L179=""),0,MIN($K179,MAX(0,(YEAR(TODAY())-YEAR($L179))*12+(MONTH(TODAY())-MONTH($L179))+IF(DAY(TODAY())&gt;=DAY($L179),1,0)))))</f>
        <v>0</v>
      </c>
      <c r="N179" s="72" t="str">
        <f aca="false">IF($J179="","",IF($G179="Pago",$J179,IF($G179="Reembolsado",0,IF($G179="Parcelado",IFERROR($J179/$K179*$M179,0),0))))</f>
        <v/>
      </c>
      <c r="O179" s="72" t="str">
        <f aca="false">IF($J179="","",IF($G179="Reembolsado",0,$J179-$N179))</f>
        <v/>
      </c>
      <c r="P179" s="68"/>
    </row>
    <row r="180" customFormat="false" ht="18" hidden="false" customHeight="true" outlineLevel="0" collapsed="false">
      <c r="A180" s="77"/>
      <c r="B180" s="78"/>
      <c r="C180" s="78"/>
      <c r="D180" s="78"/>
      <c r="E180" s="78"/>
      <c r="F180" s="78"/>
      <c r="G180" s="79"/>
      <c r="H180" s="79"/>
      <c r="I180" s="80"/>
      <c r="J180" s="72" t="str">
        <f aca="false">IF($I180="","",IFERROR($I180*INDEX(TAXAS,MATCH($H180,MOEDAS,0)),""))</f>
        <v/>
      </c>
      <c r="K180" s="81"/>
      <c r="L180" s="77"/>
      <c r="M180" s="75" t="n">
        <f aca="true">IF($G180&lt;&gt;"Parcelado",0,IF(OR($K180="",$L180=""),0,MIN($K180,MAX(0,(YEAR(TODAY())-YEAR($L180))*12+(MONTH(TODAY())-MONTH($L180))+IF(DAY(TODAY())&gt;=DAY($L180),1,0)))))</f>
        <v>0</v>
      </c>
      <c r="N180" s="72" t="str">
        <f aca="false">IF($J180="","",IF($G180="Pago",$J180,IF($G180="Reembolsado",0,IF($G180="Parcelado",IFERROR($J180/$K180*$M180,0),0))))</f>
        <v/>
      </c>
      <c r="O180" s="72" t="str">
        <f aca="false">IF($J180="","",IF($G180="Reembolsado",0,$J180-$N180))</f>
        <v/>
      </c>
      <c r="P180" s="78"/>
    </row>
  </sheetData>
  <autoFilter ref="A6:P180"/>
  <mergeCells count="2">
    <mergeCell ref="A3:P3"/>
    <mergeCell ref="A4:P4"/>
  </mergeCells>
  <conditionalFormatting sqref="G7:G180">
    <cfRule type="cellIs" priority="2" operator="equal" aboveAverage="0" equalAverage="0" bottom="0" percent="0" rank="0" text="" dxfId="11">
      <formula>"Pago"</formula>
    </cfRule>
    <cfRule type="cellIs" priority="3" operator="equal" aboveAverage="0" equalAverage="0" bottom="0" percent="0" rank="0" text="" dxfId="12">
      <formula>"Pendente"</formula>
    </cfRule>
    <cfRule type="cellIs" priority="4" operator="equal" aboveAverage="0" equalAverage="0" bottom="0" percent="0" rank="0" text="" dxfId="13">
      <formula>"Parcelado"</formula>
    </cfRule>
    <cfRule type="cellIs" priority="5" operator="equal" aboveAverage="0" equalAverage="0" bottom="0" percent="0" rank="0" text="" dxfId="14">
      <formula>"Reembolsado"</formula>
    </cfRule>
  </conditionalFormatting>
  <conditionalFormatting sqref="K7:K180">
    <cfRule type="expression" priority="6" aboveAverage="0" equalAverage="0" bottom="0" percent="0" rank="0" text="" dxfId="15">
      <formula>AND($G7="Parcelado",K7="")</formula>
    </cfRule>
  </conditionalFormatting>
  <conditionalFormatting sqref="L7:L180">
    <cfRule type="expression" priority="7" aboveAverage="0" equalAverage="0" bottom="0" percent="0" rank="0" text="" dxfId="15">
      <formula>AND($G7="Parcelado",L7="")</formula>
    </cfRule>
  </conditionalFormatting>
  <dataValidations count="7">
    <dataValidation allowBlank="true" error="Escolha uma das opções da lista." errorStyle="stop" errorTitle="Valor inválido" operator="between" prompt="Escolha uma categoria (editável na aba Listas)." promptTitle="Categorias" showDropDown="false" showErrorMessage="false" showInputMessage="false" sqref="B7:B180" type="list">
      <formula1>CATEGORIAS</formula1>
      <formula2>0</formula2>
    </dataValidation>
    <dataValidation allowBlank="true" error="Escolha uma das opções da lista." errorStyle="stop" errorTitle="Valor inválido" operator="between" prompt="Onde foi o gasto?" promptTitle="Cidades" showDropDown="false" showErrorMessage="false" showInputMessage="false" sqref="D7:D180" type="list">
      <formula1>CIDADES</formula1>
      <formula2>0</formula2>
    </dataValidation>
    <dataValidation allowBlank="true" error="Escolha uma das opções da lista." errorStyle="stop" errorTitle="Valor inválido" operator="between" prompt="Quem pagou?" promptTitle="Pessoas" showDropDown="false" showErrorMessage="false" showInputMessage="false" sqref="E7:E180" type="list">
      <formula1>PESSOAS</formula1>
      <formula2>0</formula2>
    </dataValidation>
    <dataValidation allowBlank="true" error="Escolha uma das opções da lista." errorStyle="stop" errorTitle="Valor inválido" operator="between" prompt="Como foi pago?" promptTitle="Pagamentos" showDropDown="false" showErrorMessage="false" showInputMessage="false" sqref="F7:F180" type="list">
      <formula1>PAGAMENTOS</formula1>
      <formula2>0</formula2>
    </dataValidation>
    <dataValidation allowBlank="true" error="Escolha uma das opções da lista." errorStyle="stop" errorTitle="Valor inválido" operator="between" prompt="Pago, Pendente, Parcelado ou Reembolsado." promptTitle="Status" showDropDown="false" showErrorMessage="false" showInputMessage="false" sqref="G7:G180" type="list">
      <formula1>STATUS</formula1>
      <formula2>0</formula2>
    </dataValidation>
    <dataValidation allowBlank="true" error="Escolha uma das opções da lista." errorStyle="stop" errorTitle="Valor inválido" operator="between" prompt="Moeda em que o valor foi pago." promptTitle="Moedas" showDropDown="false" showErrorMessage="false" showInputMessage="false" sqref="H7:H180" type="list">
      <formula1>MOEDAS</formula1>
      <formula2>0</formula2>
    </dataValidation>
    <dataValidation allowBlank="true" error="Informe um número inteiro de 1 a 60." errorStyle="stop" operator="between" prompt="Quantas vezes foi dividido? Deixe em branco se pagou à vista." promptTitle="Nº de parcelas" showDropDown="false" showErrorMessage="false" showInputMessage="false" sqref="K7:K180" type="whole">
      <formula1>1</formula1>
      <formula2>60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F5A"/>
    <pageSetUpPr fitToPage="true"/>
  </sheetPr>
  <dimension ref="B1:K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11" min="4" style="0" width="13"/>
    <col collapsed="false" customWidth="true" hidden="false" outlineLevel="0" max="12" min="12" style="0" width="2.5"/>
  </cols>
  <sheetData>
    <row r="1" customFormat="false" ht="6" hidden="false" customHeight="true" outlineLevel="0" collapsed="false"/>
    <row r="2" customFormat="false" ht="6.75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36" hidden="false" customHeight="true" outlineLevel="0" collapsed="false">
      <c r="B3" s="2" t="s">
        <v>73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19.5" hidden="false" customHeight="true" outlineLevel="0" collapsed="false">
      <c r="B4" s="3" t="s">
        <v>74</v>
      </c>
      <c r="C4" s="3"/>
      <c r="D4" s="3"/>
      <c r="E4" s="3"/>
      <c r="F4" s="3"/>
      <c r="G4" s="3"/>
      <c r="H4" s="3"/>
      <c r="I4" s="3"/>
      <c r="J4" s="3"/>
      <c r="K4" s="3"/>
    </row>
    <row r="5" customFormat="false" ht="12" hidden="false" customHeight="true" outlineLevel="0" collapsed="false"/>
    <row r="6" customFormat="false" ht="19.5" hidden="false" customHeight="true" outlineLevel="0" collapsed="false">
      <c r="B6" s="5" t="s">
        <v>75</v>
      </c>
      <c r="C6" s="5"/>
      <c r="D6" s="5"/>
      <c r="E6" s="5"/>
      <c r="F6" s="5"/>
      <c r="G6" s="5"/>
      <c r="H6" s="5"/>
      <c r="I6" s="5"/>
      <c r="J6" s="5"/>
      <c r="K6" s="5"/>
    </row>
    <row r="7" customFormat="false" ht="30" hidden="false" customHeight="true" outlineLevel="0" collapsed="false">
      <c r="B7" s="82" t="s">
        <v>76</v>
      </c>
      <c r="C7" s="82"/>
      <c r="D7" s="82"/>
      <c r="E7" s="82"/>
      <c r="F7" s="82"/>
      <c r="G7" s="82"/>
      <c r="H7" s="82"/>
      <c r="I7" s="82"/>
      <c r="J7" s="82"/>
      <c r="K7" s="82"/>
    </row>
    <row r="8" customFormat="false" ht="19.5" hidden="false" customHeight="true" outlineLevel="0" collapsed="false">
      <c r="B8" s="82" t="s">
        <v>77</v>
      </c>
      <c r="C8" s="82"/>
      <c r="D8" s="82"/>
      <c r="E8" s="82"/>
      <c r="F8" s="82"/>
      <c r="G8" s="82"/>
      <c r="H8" s="82"/>
      <c r="I8" s="82"/>
      <c r="J8" s="82"/>
      <c r="K8" s="82"/>
    </row>
    <row r="9" customFormat="false" ht="30" hidden="false" customHeight="true" outlineLevel="0" collapsed="false">
      <c r="B9" s="82" t="s">
        <v>78</v>
      </c>
      <c r="C9" s="82"/>
      <c r="D9" s="82"/>
      <c r="E9" s="82"/>
      <c r="F9" s="82"/>
      <c r="G9" s="82"/>
      <c r="H9" s="82"/>
      <c r="I9" s="82"/>
      <c r="J9" s="82"/>
      <c r="K9" s="82"/>
    </row>
    <row r="10" customFormat="false" ht="30" hidden="false" customHeight="true" outlineLevel="0" collapsed="false">
      <c r="B10" s="82" t="s">
        <v>79</v>
      </c>
      <c r="C10" s="82"/>
      <c r="D10" s="82"/>
      <c r="E10" s="82"/>
      <c r="F10" s="82"/>
      <c r="G10" s="82"/>
      <c r="H10" s="82"/>
      <c r="I10" s="82"/>
      <c r="J10" s="82"/>
      <c r="K10" s="82"/>
    </row>
    <row r="12" customFormat="false" ht="19.5" hidden="false" customHeight="true" outlineLevel="0" collapsed="false">
      <c r="B12" s="4" t="s">
        <v>80</v>
      </c>
      <c r="C12" s="4"/>
      <c r="D12" s="4"/>
      <c r="E12" s="4"/>
      <c r="F12" s="4"/>
      <c r="G12" s="4"/>
      <c r="H12" s="4"/>
      <c r="I12" s="4"/>
      <c r="J12" s="4"/>
      <c r="K12" s="4"/>
    </row>
    <row r="13" customFormat="false" ht="19.5" hidden="false" customHeight="true" outlineLevel="0" collapsed="false">
      <c r="B13" s="35" t="s">
        <v>81</v>
      </c>
      <c r="C13" s="35"/>
      <c r="D13" s="35"/>
      <c r="E13" s="35"/>
      <c r="F13" s="36" t="s">
        <v>82</v>
      </c>
      <c r="G13" s="36"/>
      <c r="H13" s="36"/>
      <c r="I13" s="36" t="s">
        <v>83</v>
      </c>
      <c r="J13" s="37" t="s">
        <v>84</v>
      </c>
      <c r="K13" s="37"/>
    </row>
    <row r="14" customFormat="false" ht="25.5" hidden="false" customHeight="true" outlineLevel="0" collapsed="false">
      <c r="B14" s="83" t="s">
        <v>85</v>
      </c>
      <c r="C14" s="83"/>
      <c r="D14" s="83"/>
      <c r="E14" s="83"/>
      <c r="F14" s="84" t="s">
        <v>86</v>
      </c>
      <c r="G14" s="84"/>
      <c r="H14" s="84"/>
      <c r="I14" s="84" t="n">
        <v>7</v>
      </c>
      <c r="J14" s="85" t="s">
        <v>87</v>
      </c>
      <c r="K14" s="85"/>
    </row>
    <row r="15" customFormat="false" ht="25.5" hidden="false" customHeight="true" outlineLevel="0" collapsed="false">
      <c r="B15" s="86" t="s">
        <v>88</v>
      </c>
      <c r="C15" s="86"/>
      <c r="D15" s="86"/>
      <c r="E15" s="86"/>
      <c r="F15" s="87" t="s">
        <v>89</v>
      </c>
      <c r="G15" s="87"/>
      <c r="H15" s="87"/>
      <c r="I15" s="87" t="s">
        <v>90</v>
      </c>
      <c r="J15" s="88" t="s">
        <v>91</v>
      </c>
      <c r="K15" s="88"/>
    </row>
    <row r="16" customFormat="false" ht="25.5" hidden="false" customHeight="true" outlineLevel="0" collapsed="false">
      <c r="B16" s="83" t="s">
        <v>92</v>
      </c>
      <c r="C16" s="83"/>
      <c r="D16" s="83"/>
      <c r="E16" s="83"/>
      <c r="F16" s="84" t="s">
        <v>93</v>
      </c>
      <c r="G16" s="84"/>
      <c r="H16" s="84"/>
      <c r="I16" s="84" t="s">
        <v>90</v>
      </c>
      <c r="J16" s="85" t="s">
        <v>94</v>
      </c>
      <c r="K16" s="85"/>
    </row>
    <row r="17" customFormat="false" ht="25.5" hidden="false" customHeight="true" outlineLevel="0" collapsed="false">
      <c r="B17" s="86" t="s">
        <v>95</v>
      </c>
      <c r="C17" s="86"/>
      <c r="D17" s="86"/>
      <c r="E17" s="86"/>
      <c r="F17" s="87" t="s">
        <v>96</v>
      </c>
      <c r="G17" s="87"/>
      <c r="H17" s="87"/>
      <c r="I17" s="87" t="n">
        <v>4</v>
      </c>
      <c r="J17" s="88" t="s">
        <v>97</v>
      </c>
      <c r="K17" s="88"/>
    </row>
    <row r="18" customFormat="false" ht="25.5" hidden="false" customHeight="true" outlineLevel="0" collapsed="false">
      <c r="B18" s="83" t="s">
        <v>98</v>
      </c>
      <c r="C18" s="83"/>
      <c r="D18" s="83"/>
      <c r="E18" s="83"/>
      <c r="F18" s="84" t="s">
        <v>99</v>
      </c>
      <c r="G18" s="84"/>
      <c r="H18" s="84"/>
      <c r="I18" s="84" t="n">
        <v>3</v>
      </c>
      <c r="J18" s="85" t="s">
        <v>100</v>
      </c>
      <c r="K18" s="85"/>
    </row>
    <row r="19" customFormat="false" ht="25.5" hidden="false" customHeight="true" outlineLevel="0" collapsed="false">
      <c r="B19" s="89" t="s">
        <v>101</v>
      </c>
      <c r="C19" s="89"/>
      <c r="D19" s="89"/>
      <c r="E19" s="89"/>
      <c r="F19" s="90" t="s">
        <v>102</v>
      </c>
      <c r="G19" s="90"/>
      <c r="H19" s="90"/>
      <c r="I19" s="90" t="n">
        <v>1</v>
      </c>
      <c r="J19" s="91" t="s">
        <v>103</v>
      </c>
      <c r="K19" s="91"/>
    </row>
    <row r="21" customFormat="false" ht="19.5" hidden="false" customHeight="true" outlineLevel="0" collapsed="false">
      <c r="B21" s="4" t="s">
        <v>104</v>
      </c>
      <c r="C21" s="4"/>
      <c r="D21" s="4"/>
      <c r="E21" s="4"/>
      <c r="F21" s="4"/>
      <c r="G21" s="4"/>
      <c r="H21" s="4"/>
      <c r="I21" s="4"/>
      <c r="J21" s="4"/>
      <c r="K21" s="4"/>
    </row>
    <row r="22" customFormat="false" ht="19.5" hidden="false" customHeight="true" outlineLevel="0" collapsed="false">
      <c r="B22" s="35" t="s">
        <v>55</v>
      </c>
      <c r="C22" s="36" t="s">
        <v>105</v>
      </c>
      <c r="D22" s="36" t="s">
        <v>106</v>
      </c>
      <c r="E22" s="36"/>
      <c r="F22" s="36" t="s">
        <v>107</v>
      </c>
      <c r="G22" s="36"/>
      <c r="H22" s="36"/>
      <c r="I22" s="36"/>
      <c r="J22" s="37" t="s">
        <v>108</v>
      </c>
      <c r="K22" s="37"/>
    </row>
    <row r="23" customFormat="false" ht="43.5" hidden="false" customHeight="true" outlineLevel="0" collapsed="false">
      <c r="B23" s="83" t="s">
        <v>109</v>
      </c>
      <c r="C23" s="84" t="s">
        <v>110</v>
      </c>
      <c r="D23" s="84" t="s">
        <v>85</v>
      </c>
      <c r="E23" s="84"/>
      <c r="F23" s="84" t="s">
        <v>111</v>
      </c>
      <c r="G23" s="84"/>
      <c r="H23" s="84"/>
      <c r="I23" s="84"/>
      <c r="J23" s="85" t="s">
        <v>112</v>
      </c>
      <c r="K23" s="85"/>
    </row>
    <row r="24" customFormat="false" ht="43.5" hidden="false" customHeight="true" outlineLevel="0" collapsed="false">
      <c r="B24" s="86" t="s">
        <v>113</v>
      </c>
      <c r="C24" s="87" t="s">
        <v>114</v>
      </c>
      <c r="D24" s="87" t="s">
        <v>85</v>
      </c>
      <c r="E24" s="87"/>
      <c r="F24" s="87" t="s">
        <v>115</v>
      </c>
      <c r="G24" s="87"/>
      <c r="H24" s="87"/>
      <c r="I24" s="87"/>
      <c r="J24" s="88" t="s">
        <v>116</v>
      </c>
      <c r="K24" s="88"/>
    </row>
    <row r="25" customFormat="false" ht="43.5" hidden="false" customHeight="true" outlineLevel="0" collapsed="false">
      <c r="B25" s="83" t="s">
        <v>117</v>
      </c>
      <c r="C25" s="84" t="s">
        <v>118</v>
      </c>
      <c r="D25" s="84" t="s">
        <v>85</v>
      </c>
      <c r="E25" s="84"/>
      <c r="F25" s="84" t="s">
        <v>119</v>
      </c>
      <c r="G25" s="84"/>
      <c r="H25" s="84"/>
      <c r="I25" s="84"/>
      <c r="J25" s="85" t="s">
        <v>120</v>
      </c>
      <c r="K25" s="85"/>
    </row>
    <row r="26" customFormat="false" ht="43.5" hidden="false" customHeight="true" outlineLevel="0" collapsed="false">
      <c r="B26" s="86" t="s">
        <v>121</v>
      </c>
      <c r="C26" s="87" t="s">
        <v>122</v>
      </c>
      <c r="D26" s="87" t="s">
        <v>85</v>
      </c>
      <c r="E26" s="87"/>
      <c r="F26" s="87" t="s">
        <v>123</v>
      </c>
      <c r="G26" s="87"/>
      <c r="H26" s="87"/>
      <c r="I26" s="87"/>
      <c r="J26" s="88" t="s">
        <v>124</v>
      </c>
      <c r="K26" s="88"/>
    </row>
    <row r="27" customFormat="false" ht="43.5" hidden="false" customHeight="true" outlineLevel="0" collapsed="false">
      <c r="B27" s="83" t="s">
        <v>125</v>
      </c>
      <c r="C27" s="84" t="s">
        <v>126</v>
      </c>
      <c r="D27" s="84" t="s">
        <v>85</v>
      </c>
      <c r="E27" s="84"/>
      <c r="F27" s="84" t="s">
        <v>127</v>
      </c>
      <c r="G27" s="84"/>
      <c r="H27" s="84"/>
      <c r="I27" s="84"/>
      <c r="J27" s="85" t="s">
        <v>128</v>
      </c>
      <c r="K27" s="85"/>
    </row>
    <row r="28" customFormat="false" ht="43.5" hidden="false" customHeight="true" outlineLevel="0" collapsed="false">
      <c r="B28" s="86" t="s">
        <v>129</v>
      </c>
      <c r="C28" s="87" t="s">
        <v>130</v>
      </c>
      <c r="D28" s="87" t="s">
        <v>85</v>
      </c>
      <c r="E28" s="87"/>
      <c r="F28" s="87" t="s">
        <v>131</v>
      </c>
      <c r="G28" s="87"/>
      <c r="H28" s="87"/>
      <c r="I28" s="87"/>
      <c r="J28" s="88" t="s">
        <v>132</v>
      </c>
      <c r="K28" s="88"/>
    </row>
    <row r="29" customFormat="false" ht="43.5" hidden="false" customHeight="true" outlineLevel="0" collapsed="false">
      <c r="B29" s="83" t="s">
        <v>89</v>
      </c>
      <c r="C29" s="84" t="s">
        <v>133</v>
      </c>
      <c r="D29" s="84" t="s">
        <v>134</v>
      </c>
      <c r="E29" s="84"/>
      <c r="F29" s="84" t="s">
        <v>135</v>
      </c>
      <c r="G29" s="84"/>
      <c r="H29" s="84"/>
      <c r="I29" s="84"/>
      <c r="J29" s="85" t="s">
        <v>136</v>
      </c>
      <c r="K29" s="85"/>
    </row>
    <row r="30" customFormat="false" ht="43.5" hidden="false" customHeight="true" outlineLevel="0" collapsed="false">
      <c r="B30" s="86" t="s">
        <v>93</v>
      </c>
      <c r="C30" s="87" t="s">
        <v>110</v>
      </c>
      <c r="D30" s="87" t="s">
        <v>92</v>
      </c>
      <c r="E30" s="87"/>
      <c r="F30" s="87" t="s">
        <v>137</v>
      </c>
      <c r="G30" s="87"/>
      <c r="H30" s="87"/>
      <c r="I30" s="87"/>
      <c r="J30" s="88" t="s">
        <v>138</v>
      </c>
      <c r="K30" s="88"/>
    </row>
    <row r="31" customFormat="false" ht="43.5" hidden="false" customHeight="true" outlineLevel="0" collapsed="false">
      <c r="B31" s="83" t="s">
        <v>139</v>
      </c>
      <c r="C31" s="84" t="s">
        <v>114</v>
      </c>
      <c r="D31" s="84" t="s">
        <v>140</v>
      </c>
      <c r="E31" s="84"/>
      <c r="F31" s="84" t="s">
        <v>141</v>
      </c>
      <c r="G31" s="84"/>
      <c r="H31" s="84"/>
      <c r="I31" s="84"/>
      <c r="J31" s="85" t="s">
        <v>142</v>
      </c>
      <c r="K31" s="85"/>
    </row>
    <row r="32" customFormat="false" ht="43.5" hidden="false" customHeight="true" outlineLevel="0" collapsed="false">
      <c r="B32" s="86" t="s">
        <v>143</v>
      </c>
      <c r="C32" s="87" t="s">
        <v>118</v>
      </c>
      <c r="D32" s="87" t="s">
        <v>95</v>
      </c>
      <c r="E32" s="87"/>
      <c r="F32" s="87" t="s">
        <v>144</v>
      </c>
      <c r="G32" s="87"/>
      <c r="H32" s="87"/>
      <c r="I32" s="87"/>
      <c r="J32" s="88" t="s">
        <v>145</v>
      </c>
      <c r="K32" s="88"/>
    </row>
    <row r="33" customFormat="false" ht="43.5" hidden="false" customHeight="true" outlineLevel="0" collapsed="false">
      <c r="B33" s="83" t="s">
        <v>146</v>
      </c>
      <c r="C33" s="84" t="s">
        <v>122</v>
      </c>
      <c r="D33" s="84" t="s">
        <v>95</v>
      </c>
      <c r="E33" s="84"/>
      <c r="F33" s="84" t="s">
        <v>147</v>
      </c>
      <c r="G33" s="84"/>
      <c r="H33" s="84"/>
      <c r="I33" s="84"/>
      <c r="J33" s="85" t="s">
        <v>148</v>
      </c>
      <c r="K33" s="85"/>
    </row>
    <row r="34" customFormat="false" ht="43.5" hidden="false" customHeight="true" outlineLevel="0" collapsed="false">
      <c r="B34" s="86" t="s">
        <v>149</v>
      </c>
      <c r="C34" s="87" t="s">
        <v>126</v>
      </c>
      <c r="D34" s="87" t="s">
        <v>150</v>
      </c>
      <c r="E34" s="87"/>
      <c r="F34" s="87" t="s">
        <v>151</v>
      </c>
      <c r="G34" s="87"/>
      <c r="H34" s="87"/>
      <c r="I34" s="87"/>
      <c r="J34" s="88" t="s">
        <v>152</v>
      </c>
      <c r="K34" s="88"/>
    </row>
    <row r="35" customFormat="false" ht="43.5" hidden="false" customHeight="true" outlineLevel="0" collapsed="false">
      <c r="B35" s="83" t="s">
        <v>153</v>
      </c>
      <c r="C35" s="84" t="s">
        <v>130</v>
      </c>
      <c r="D35" s="84" t="s">
        <v>154</v>
      </c>
      <c r="E35" s="84"/>
      <c r="F35" s="84" t="s">
        <v>155</v>
      </c>
      <c r="G35" s="84"/>
      <c r="H35" s="84"/>
      <c r="I35" s="84"/>
      <c r="J35" s="85" t="s">
        <v>156</v>
      </c>
      <c r="K35" s="85"/>
    </row>
    <row r="36" customFormat="false" ht="43.5" hidden="false" customHeight="true" outlineLevel="0" collapsed="false">
      <c r="B36" s="86" t="s">
        <v>157</v>
      </c>
      <c r="C36" s="87" t="s">
        <v>133</v>
      </c>
      <c r="D36" s="87" t="s">
        <v>98</v>
      </c>
      <c r="E36" s="87"/>
      <c r="F36" s="87" t="s">
        <v>158</v>
      </c>
      <c r="G36" s="87"/>
      <c r="H36" s="87"/>
      <c r="I36" s="87"/>
      <c r="J36" s="88" t="s">
        <v>159</v>
      </c>
      <c r="K36" s="88"/>
    </row>
    <row r="37" customFormat="false" ht="43.5" hidden="false" customHeight="true" outlineLevel="0" collapsed="false">
      <c r="B37" s="83" t="s">
        <v>160</v>
      </c>
      <c r="C37" s="84" t="s">
        <v>110</v>
      </c>
      <c r="D37" s="84" t="s">
        <v>98</v>
      </c>
      <c r="E37" s="84"/>
      <c r="F37" s="84" t="s">
        <v>161</v>
      </c>
      <c r="G37" s="84"/>
      <c r="H37" s="84"/>
      <c r="I37" s="84"/>
      <c r="J37" s="85" t="s">
        <v>162</v>
      </c>
      <c r="K37" s="85"/>
    </row>
    <row r="38" customFormat="false" ht="43.5" hidden="false" customHeight="true" outlineLevel="0" collapsed="false">
      <c r="B38" s="86" t="s">
        <v>163</v>
      </c>
      <c r="C38" s="87" t="s">
        <v>114</v>
      </c>
      <c r="D38" s="87" t="s">
        <v>164</v>
      </c>
      <c r="E38" s="87"/>
      <c r="F38" s="87" t="s">
        <v>165</v>
      </c>
      <c r="G38" s="87"/>
      <c r="H38" s="87"/>
      <c r="I38" s="87"/>
      <c r="J38" s="88" t="s">
        <v>166</v>
      </c>
      <c r="K38" s="88"/>
    </row>
    <row r="39" customFormat="false" ht="43.5" hidden="false" customHeight="true" outlineLevel="0" collapsed="false">
      <c r="B39" s="92" t="s">
        <v>167</v>
      </c>
      <c r="C39" s="93" t="s">
        <v>118</v>
      </c>
      <c r="D39" s="93" t="s">
        <v>168</v>
      </c>
      <c r="E39" s="93"/>
      <c r="F39" s="93" t="s">
        <v>169</v>
      </c>
      <c r="G39" s="93"/>
      <c r="H39" s="93"/>
      <c r="I39" s="93"/>
      <c r="J39" s="94" t="s">
        <v>170</v>
      </c>
      <c r="K39" s="94"/>
    </row>
    <row r="41" customFormat="false" ht="19.5" hidden="false" customHeight="true" outlineLevel="0" collapsed="false">
      <c r="B41" s="4" t="s">
        <v>171</v>
      </c>
      <c r="C41" s="4"/>
      <c r="D41" s="4"/>
      <c r="E41" s="4"/>
      <c r="F41" s="4"/>
      <c r="G41" s="4"/>
      <c r="H41" s="4"/>
      <c r="I41" s="4"/>
      <c r="J41" s="4"/>
      <c r="K41" s="4"/>
    </row>
    <row r="42" customFormat="false" ht="19.5" hidden="false" customHeight="true" outlineLevel="0" collapsed="false">
      <c r="B42" s="35" t="s">
        <v>172</v>
      </c>
      <c r="C42" s="35"/>
      <c r="D42" s="35"/>
      <c r="E42" s="37" t="s">
        <v>173</v>
      </c>
      <c r="F42" s="37"/>
      <c r="G42" s="37"/>
      <c r="H42" s="37"/>
      <c r="I42" s="37"/>
      <c r="J42" s="37"/>
      <c r="K42" s="37"/>
    </row>
    <row r="43" customFormat="false" ht="39.75" hidden="false" customHeight="true" outlineLevel="0" collapsed="false">
      <c r="B43" s="83" t="s">
        <v>85</v>
      </c>
      <c r="C43" s="83"/>
      <c r="D43" s="83"/>
      <c r="E43" s="85" t="s">
        <v>174</v>
      </c>
      <c r="F43" s="85"/>
      <c r="G43" s="85"/>
      <c r="H43" s="85"/>
      <c r="I43" s="85"/>
      <c r="J43" s="85"/>
      <c r="K43" s="85"/>
    </row>
    <row r="44" customFormat="false" ht="33.75" hidden="false" customHeight="true" outlineLevel="0" collapsed="false">
      <c r="B44" s="86" t="s">
        <v>175</v>
      </c>
      <c r="C44" s="86"/>
      <c r="D44" s="86"/>
      <c r="E44" s="88" t="s">
        <v>176</v>
      </c>
      <c r="F44" s="88"/>
      <c r="G44" s="88"/>
      <c r="H44" s="88"/>
      <c r="I44" s="88"/>
      <c r="J44" s="88"/>
      <c r="K44" s="88"/>
    </row>
    <row r="45" customFormat="false" ht="33.75" hidden="false" customHeight="true" outlineLevel="0" collapsed="false">
      <c r="B45" s="83" t="s">
        <v>92</v>
      </c>
      <c r="C45" s="83"/>
      <c r="D45" s="83"/>
      <c r="E45" s="85" t="s">
        <v>177</v>
      </c>
      <c r="F45" s="85"/>
      <c r="G45" s="85"/>
      <c r="H45" s="85"/>
      <c r="I45" s="85"/>
      <c r="J45" s="85"/>
      <c r="K45" s="85"/>
    </row>
    <row r="46" customFormat="false" ht="39.75" hidden="false" customHeight="true" outlineLevel="0" collapsed="false">
      <c r="B46" s="86" t="s">
        <v>95</v>
      </c>
      <c r="C46" s="86"/>
      <c r="D46" s="86"/>
      <c r="E46" s="88" t="s">
        <v>178</v>
      </c>
      <c r="F46" s="88"/>
      <c r="G46" s="88"/>
      <c r="H46" s="88"/>
      <c r="I46" s="88"/>
      <c r="J46" s="88"/>
      <c r="K46" s="88"/>
    </row>
    <row r="47" customFormat="false" ht="25.5" hidden="false" customHeight="true" outlineLevel="0" collapsed="false">
      <c r="B47" s="83" t="s">
        <v>179</v>
      </c>
      <c r="C47" s="83"/>
      <c r="D47" s="83"/>
      <c r="E47" s="85" t="s">
        <v>180</v>
      </c>
      <c r="F47" s="85"/>
      <c r="G47" s="85"/>
      <c r="H47" s="85"/>
      <c r="I47" s="85"/>
      <c r="J47" s="85"/>
      <c r="K47" s="85"/>
    </row>
    <row r="48" customFormat="false" ht="33.75" hidden="false" customHeight="true" outlineLevel="0" collapsed="false">
      <c r="B48" s="89" t="s">
        <v>98</v>
      </c>
      <c r="C48" s="89"/>
      <c r="D48" s="89"/>
      <c r="E48" s="91" t="s">
        <v>181</v>
      </c>
      <c r="F48" s="91"/>
      <c r="G48" s="91"/>
      <c r="H48" s="91"/>
      <c r="I48" s="91"/>
      <c r="J48" s="91"/>
      <c r="K48" s="91"/>
    </row>
    <row r="50" customFormat="false" ht="19.5" hidden="false" customHeight="true" outlineLevel="0" collapsed="false">
      <c r="B50" s="95" t="s">
        <v>182</v>
      </c>
      <c r="C50" s="95"/>
      <c r="D50" s="95"/>
      <c r="E50" s="95"/>
      <c r="F50" s="95"/>
      <c r="G50" s="95"/>
      <c r="H50" s="95"/>
      <c r="I50" s="95"/>
      <c r="J50" s="95"/>
      <c r="K50" s="95"/>
    </row>
    <row r="51" customFormat="false" ht="19.5" hidden="false" customHeight="true" outlineLevel="0" collapsed="false">
      <c r="B51" s="35" t="s">
        <v>183</v>
      </c>
      <c r="C51" s="35"/>
      <c r="D51" s="35"/>
      <c r="E51" s="35"/>
      <c r="F51" s="36" t="s">
        <v>184</v>
      </c>
      <c r="G51" s="36"/>
      <c r="H51" s="36"/>
      <c r="I51" s="36"/>
      <c r="J51" s="37" t="s">
        <v>58</v>
      </c>
      <c r="K51" s="37"/>
    </row>
    <row r="52" customFormat="false" ht="25.5" hidden="false" customHeight="true" outlineLevel="0" collapsed="false">
      <c r="B52" s="83" t="s">
        <v>185</v>
      </c>
      <c r="C52" s="83"/>
      <c r="D52" s="83"/>
      <c r="E52" s="83"/>
      <c r="F52" s="84" t="s">
        <v>186</v>
      </c>
      <c r="G52" s="84"/>
      <c r="H52" s="84"/>
      <c r="I52" s="84"/>
      <c r="J52" s="96" t="s">
        <v>187</v>
      </c>
      <c r="K52" s="96"/>
    </row>
    <row r="53" customFormat="false" ht="25.5" hidden="false" customHeight="true" outlineLevel="0" collapsed="false">
      <c r="B53" s="86" t="s">
        <v>188</v>
      </c>
      <c r="C53" s="86"/>
      <c r="D53" s="86"/>
      <c r="E53" s="86"/>
      <c r="F53" s="87" t="s">
        <v>189</v>
      </c>
      <c r="G53" s="87"/>
      <c r="H53" s="87"/>
      <c r="I53" s="87"/>
      <c r="J53" s="96" t="s">
        <v>187</v>
      </c>
      <c r="K53" s="96"/>
    </row>
    <row r="54" customFormat="false" ht="25.5" hidden="false" customHeight="true" outlineLevel="0" collapsed="false">
      <c r="B54" s="83" t="s">
        <v>190</v>
      </c>
      <c r="C54" s="83"/>
      <c r="D54" s="83"/>
      <c r="E54" s="83"/>
      <c r="F54" s="84" t="s">
        <v>191</v>
      </c>
      <c r="G54" s="84"/>
      <c r="H54" s="84"/>
      <c r="I54" s="84"/>
      <c r="J54" s="96" t="s">
        <v>187</v>
      </c>
      <c r="K54" s="96"/>
    </row>
    <row r="55" customFormat="false" ht="25.5" hidden="false" customHeight="true" outlineLevel="0" collapsed="false">
      <c r="B55" s="86" t="s">
        <v>192</v>
      </c>
      <c r="C55" s="86"/>
      <c r="D55" s="86"/>
      <c r="E55" s="86"/>
      <c r="F55" s="87" t="s">
        <v>193</v>
      </c>
      <c r="G55" s="87"/>
      <c r="H55" s="87"/>
      <c r="I55" s="87"/>
      <c r="J55" s="96" t="s">
        <v>187</v>
      </c>
      <c r="K55" s="96"/>
    </row>
    <row r="56" customFormat="false" ht="25.5" hidden="false" customHeight="true" outlineLevel="0" collapsed="false">
      <c r="B56" s="83" t="s">
        <v>194</v>
      </c>
      <c r="C56" s="83"/>
      <c r="D56" s="83"/>
      <c r="E56" s="83"/>
      <c r="F56" s="84" t="s">
        <v>195</v>
      </c>
      <c r="G56" s="84"/>
      <c r="H56" s="84"/>
      <c r="I56" s="84"/>
      <c r="J56" s="96" t="s">
        <v>187</v>
      </c>
      <c r="K56" s="96"/>
    </row>
    <row r="57" customFormat="false" ht="25.5" hidden="false" customHeight="true" outlineLevel="0" collapsed="false">
      <c r="B57" s="86" t="s">
        <v>196</v>
      </c>
      <c r="C57" s="86"/>
      <c r="D57" s="86"/>
      <c r="E57" s="86"/>
      <c r="F57" s="87" t="s">
        <v>197</v>
      </c>
      <c r="G57" s="87"/>
      <c r="H57" s="87"/>
      <c r="I57" s="87"/>
      <c r="J57" s="96" t="s">
        <v>187</v>
      </c>
      <c r="K57" s="96"/>
    </row>
    <row r="58" customFormat="false" ht="25.5" hidden="false" customHeight="true" outlineLevel="0" collapsed="false">
      <c r="B58" s="83" t="s">
        <v>198</v>
      </c>
      <c r="C58" s="83"/>
      <c r="D58" s="83"/>
      <c r="E58" s="83"/>
      <c r="F58" s="84" t="s">
        <v>199</v>
      </c>
      <c r="G58" s="84"/>
      <c r="H58" s="84"/>
      <c r="I58" s="84"/>
      <c r="J58" s="96" t="s">
        <v>187</v>
      </c>
      <c r="K58" s="96"/>
    </row>
    <row r="59" customFormat="false" ht="25.5" hidden="false" customHeight="true" outlineLevel="0" collapsed="false">
      <c r="B59" s="86" t="s">
        <v>200</v>
      </c>
      <c r="C59" s="86"/>
      <c r="D59" s="86"/>
      <c r="E59" s="86"/>
      <c r="F59" s="87" t="s">
        <v>201</v>
      </c>
      <c r="G59" s="87"/>
      <c r="H59" s="87"/>
      <c r="I59" s="87"/>
      <c r="J59" s="96" t="s">
        <v>187</v>
      </c>
      <c r="K59" s="96"/>
    </row>
    <row r="60" customFormat="false" ht="25.5" hidden="false" customHeight="true" outlineLevel="0" collapsed="false">
      <c r="B60" s="83" t="s">
        <v>202</v>
      </c>
      <c r="C60" s="83"/>
      <c r="D60" s="83"/>
      <c r="E60" s="83"/>
      <c r="F60" s="84" t="s">
        <v>203</v>
      </c>
      <c r="G60" s="84"/>
      <c r="H60" s="84"/>
      <c r="I60" s="84"/>
      <c r="J60" s="96" t="s">
        <v>187</v>
      </c>
      <c r="K60" s="96"/>
    </row>
    <row r="61" customFormat="false" ht="25.5" hidden="false" customHeight="true" outlineLevel="0" collapsed="false">
      <c r="B61" s="86" t="s">
        <v>204</v>
      </c>
      <c r="C61" s="86"/>
      <c r="D61" s="86"/>
      <c r="E61" s="86"/>
      <c r="F61" s="87" t="s">
        <v>205</v>
      </c>
      <c r="G61" s="87"/>
      <c r="H61" s="87"/>
      <c r="I61" s="87"/>
      <c r="J61" s="96" t="s">
        <v>187</v>
      </c>
      <c r="K61" s="96"/>
    </row>
    <row r="62" customFormat="false" ht="25.5" hidden="false" customHeight="true" outlineLevel="0" collapsed="false">
      <c r="B62" s="83" t="s">
        <v>206</v>
      </c>
      <c r="C62" s="83"/>
      <c r="D62" s="83"/>
      <c r="E62" s="83"/>
      <c r="F62" s="84" t="s">
        <v>207</v>
      </c>
      <c r="G62" s="84"/>
      <c r="H62" s="84"/>
      <c r="I62" s="84"/>
      <c r="J62" s="96" t="s">
        <v>187</v>
      </c>
      <c r="K62" s="96"/>
    </row>
    <row r="63" customFormat="false" ht="25.5" hidden="false" customHeight="true" outlineLevel="0" collapsed="false">
      <c r="B63" s="89" t="s">
        <v>208</v>
      </c>
      <c r="C63" s="89"/>
      <c r="D63" s="89"/>
      <c r="E63" s="89"/>
      <c r="F63" s="90" t="s">
        <v>209</v>
      </c>
      <c r="G63" s="90"/>
      <c r="H63" s="90"/>
      <c r="I63" s="90"/>
      <c r="J63" s="97" t="s">
        <v>187</v>
      </c>
      <c r="K63" s="97"/>
    </row>
    <row r="65" customFormat="false" ht="19.5" hidden="false" customHeight="true" outlineLevel="0" collapsed="false">
      <c r="B65" s="98" t="s">
        <v>210</v>
      </c>
      <c r="C65" s="98"/>
      <c r="D65" s="98"/>
      <c r="E65" s="98"/>
      <c r="F65" s="98"/>
      <c r="G65" s="98"/>
      <c r="H65" s="98"/>
      <c r="I65" s="98"/>
      <c r="J65" s="98"/>
      <c r="K65" s="98"/>
    </row>
    <row r="66" customFormat="false" ht="27.75" hidden="false" customHeight="true" outlineLevel="0" collapsed="false">
      <c r="B66" s="99" t="s">
        <v>211</v>
      </c>
      <c r="C66" s="99"/>
      <c r="D66" s="99"/>
      <c r="E66" s="99"/>
      <c r="F66" s="99"/>
      <c r="G66" s="99"/>
      <c r="H66" s="99"/>
      <c r="I66" s="99"/>
      <c r="J66" s="99"/>
      <c r="K66" s="99"/>
    </row>
    <row r="67" customFormat="false" ht="19.5" hidden="false" customHeight="true" outlineLevel="0" collapsed="false">
      <c r="B67" s="35" t="s">
        <v>212</v>
      </c>
      <c r="C67" s="35"/>
      <c r="D67" s="35"/>
      <c r="E67" s="35"/>
      <c r="F67" s="36" t="s">
        <v>213</v>
      </c>
      <c r="G67" s="36"/>
      <c r="H67" s="36"/>
      <c r="I67" s="37" t="s">
        <v>108</v>
      </c>
      <c r="J67" s="37"/>
      <c r="K67" s="37"/>
    </row>
    <row r="68" customFormat="false" ht="21.75" hidden="false" customHeight="true" outlineLevel="0" collapsed="false">
      <c r="B68" s="83" t="s">
        <v>214</v>
      </c>
      <c r="C68" s="83"/>
      <c r="D68" s="83"/>
      <c r="E68" s="83"/>
      <c r="F68" s="84" t="s">
        <v>215</v>
      </c>
      <c r="G68" s="84"/>
      <c r="H68" s="84"/>
      <c r="I68" s="85" t="s">
        <v>216</v>
      </c>
      <c r="J68" s="85"/>
      <c r="K68" s="85"/>
    </row>
    <row r="69" customFormat="false" ht="21.75" hidden="false" customHeight="true" outlineLevel="0" collapsed="false">
      <c r="B69" s="86" t="s">
        <v>217</v>
      </c>
      <c r="C69" s="86"/>
      <c r="D69" s="86"/>
      <c r="E69" s="86"/>
      <c r="F69" s="87" t="s">
        <v>218</v>
      </c>
      <c r="G69" s="87"/>
      <c r="H69" s="87"/>
      <c r="I69" s="88" t="s">
        <v>219</v>
      </c>
      <c r="J69" s="88"/>
      <c r="K69" s="88"/>
    </row>
    <row r="70" customFormat="false" ht="21.75" hidden="false" customHeight="true" outlineLevel="0" collapsed="false">
      <c r="B70" s="83" t="s">
        <v>220</v>
      </c>
      <c r="C70" s="83"/>
      <c r="D70" s="83"/>
      <c r="E70" s="83"/>
      <c r="F70" s="84" t="s">
        <v>221</v>
      </c>
      <c r="G70" s="84"/>
      <c r="H70" s="84"/>
      <c r="I70" s="85" t="s">
        <v>222</v>
      </c>
      <c r="J70" s="85"/>
      <c r="K70" s="85"/>
    </row>
    <row r="71" customFormat="false" ht="21.75" hidden="false" customHeight="true" outlineLevel="0" collapsed="false">
      <c r="B71" s="86" t="s">
        <v>223</v>
      </c>
      <c r="C71" s="86"/>
      <c r="D71" s="86"/>
      <c r="E71" s="86"/>
      <c r="F71" s="87" t="s">
        <v>224</v>
      </c>
      <c r="G71" s="87"/>
      <c r="H71" s="87"/>
      <c r="I71" s="88" t="s">
        <v>225</v>
      </c>
      <c r="J71" s="88"/>
      <c r="K71" s="88"/>
    </row>
    <row r="72" customFormat="false" ht="21.75" hidden="false" customHeight="true" outlineLevel="0" collapsed="false">
      <c r="B72" s="83" t="s">
        <v>226</v>
      </c>
      <c r="C72" s="83"/>
      <c r="D72" s="83"/>
      <c r="E72" s="83"/>
      <c r="F72" s="84" t="s">
        <v>227</v>
      </c>
      <c r="G72" s="84"/>
      <c r="H72" s="84"/>
      <c r="I72" s="85" t="s">
        <v>225</v>
      </c>
      <c r="J72" s="85"/>
      <c r="K72" s="85"/>
    </row>
    <row r="73" customFormat="false" ht="21.75" hidden="false" customHeight="true" outlineLevel="0" collapsed="false">
      <c r="B73" s="86" t="s">
        <v>228</v>
      </c>
      <c r="C73" s="86"/>
      <c r="D73" s="86"/>
      <c r="E73" s="86"/>
      <c r="F73" s="87" t="s">
        <v>229</v>
      </c>
      <c r="G73" s="87"/>
      <c r="H73" s="87"/>
      <c r="I73" s="88" t="s">
        <v>225</v>
      </c>
      <c r="J73" s="88"/>
      <c r="K73" s="88"/>
    </row>
    <row r="74" customFormat="false" ht="21.75" hidden="false" customHeight="true" outlineLevel="0" collapsed="false">
      <c r="B74" s="83" t="s">
        <v>230</v>
      </c>
      <c r="C74" s="83"/>
      <c r="D74" s="83"/>
      <c r="E74" s="83"/>
      <c r="F74" s="84" t="s">
        <v>231</v>
      </c>
      <c r="G74" s="84"/>
      <c r="H74" s="84"/>
      <c r="I74" s="85" t="s">
        <v>232</v>
      </c>
      <c r="J74" s="85"/>
      <c r="K74" s="85"/>
    </row>
    <row r="75" customFormat="false" ht="21.75" hidden="false" customHeight="true" outlineLevel="0" collapsed="false">
      <c r="B75" s="86" t="s">
        <v>233</v>
      </c>
      <c r="C75" s="86"/>
      <c r="D75" s="86"/>
      <c r="E75" s="86"/>
      <c r="F75" s="87" t="s">
        <v>234</v>
      </c>
      <c r="G75" s="87"/>
      <c r="H75" s="87"/>
      <c r="I75" s="88" t="s">
        <v>235</v>
      </c>
      <c r="J75" s="88"/>
      <c r="K75" s="88"/>
    </row>
    <row r="76" customFormat="false" ht="21.75" hidden="false" customHeight="true" outlineLevel="0" collapsed="false">
      <c r="B76" s="83" t="s">
        <v>236</v>
      </c>
      <c r="C76" s="83"/>
      <c r="D76" s="83"/>
      <c r="E76" s="83"/>
      <c r="F76" s="84" t="s">
        <v>237</v>
      </c>
      <c r="G76" s="84"/>
      <c r="H76" s="84"/>
      <c r="I76" s="85" t="s">
        <v>238</v>
      </c>
      <c r="J76" s="85"/>
      <c r="K76" s="85"/>
    </row>
    <row r="77" customFormat="false" ht="21.75" hidden="false" customHeight="true" outlineLevel="0" collapsed="false">
      <c r="B77" s="86" t="s">
        <v>239</v>
      </c>
      <c r="C77" s="86"/>
      <c r="D77" s="86"/>
      <c r="E77" s="86"/>
      <c r="F77" s="87" t="s">
        <v>240</v>
      </c>
      <c r="G77" s="87"/>
      <c r="H77" s="87"/>
      <c r="I77" s="88" t="s">
        <v>241</v>
      </c>
      <c r="J77" s="88"/>
      <c r="K77" s="88"/>
    </row>
    <row r="78" customFormat="false" ht="21.75" hidden="false" customHeight="true" outlineLevel="0" collapsed="false">
      <c r="B78" s="83" t="s">
        <v>242</v>
      </c>
      <c r="C78" s="83"/>
      <c r="D78" s="83"/>
      <c r="E78" s="83"/>
      <c r="F78" s="84" t="s">
        <v>243</v>
      </c>
      <c r="G78" s="84"/>
      <c r="H78" s="84"/>
      <c r="I78" s="85" t="s">
        <v>244</v>
      </c>
      <c r="J78" s="85"/>
      <c r="K78" s="85"/>
    </row>
    <row r="79" customFormat="false" ht="21.75" hidden="false" customHeight="true" outlineLevel="0" collapsed="false">
      <c r="B79" s="86" t="s">
        <v>245</v>
      </c>
      <c r="C79" s="86"/>
      <c r="D79" s="86"/>
      <c r="E79" s="86"/>
      <c r="F79" s="87" t="s">
        <v>246</v>
      </c>
      <c r="G79" s="87"/>
      <c r="H79" s="87"/>
      <c r="I79" s="88" t="s">
        <v>247</v>
      </c>
      <c r="J79" s="88"/>
      <c r="K79" s="88"/>
    </row>
    <row r="80" customFormat="false" ht="21.75" hidden="false" customHeight="true" outlineLevel="0" collapsed="false">
      <c r="B80" s="92" t="s">
        <v>248</v>
      </c>
      <c r="C80" s="92"/>
      <c r="D80" s="92"/>
      <c r="E80" s="92"/>
      <c r="F80" s="93" t="s">
        <v>249</v>
      </c>
      <c r="G80" s="93"/>
      <c r="H80" s="93"/>
      <c r="I80" s="94" t="s">
        <v>250</v>
      </c>
      <c r="J80" s="94"/>
      <c r="K80" s="94"/>
    </row>
    <row r="82" customFormat="false" ht="19.5" hidden="false" customHeight="true" outlineLevel="0" collapsed="false">
      <c r="B82" s="100" t="s">
        <v>251</v>
      </c>
      <c r="C82" s="100"/>
      <c r="D82" s="100"/>
      <c r="E82" s="100"/>
      <c r="F82" s="100"/>
      <c r="G82" s="100"/>
      <c r="H82" s="100"/>
      <c r="I82" s="100"/>
      <c r="J82" s="100"/>
      <c r="K82" s="100"/>
    </row>
    <row r="83" customFormat="false" ht="39.75" hidden="false" customHeight="true" outlineLevel="0" collapsed="false">
      <c r="B83" s="101" t="s">
        <v>252</v>
      </c>
      <c r="C83" s="101"/>
      <c r="D83" s="102" t="s">
        <v>253</v>
      </c>
      <c r="E83" s="102"/>
      <c r="F83" s="102"/>
      <c r="G83" s="102"/>
      <c r="H83" s="102"/>
      <c r="I83" s="102"/>
      <c r="J83" s="102"/>
      <c r="K83" s="102"/>
    </row>
    <row r="84" customFormat="false" ht="39.75" hidden="false" customHeight="true" outlineLevel="0" collapsed="false">
      <c r="B84" s="103" t="s">
        <v>254</v>
      </c>
      <c r="C84" s="103"/>
      <c r="D84" s="88" t="s">
        <v>255</v>
      </c>
      <c r="E84" s="88"/>
      <c r="F84" s="88"/>
      <c r="G84" s="88"/>
      <c r="H84" s="88"/>
      <c r="I84" s="88"/>
      <c r="J84" s="88"/>
      <c r="K84" s="88"/>
    </row>
    <row r="85" customFormat="false" ht="39.75" hidden="false" customHeight="true" outlineLevel="0" collapsed="false">
      <c r="B85" s="104" t="s">
        <v>256</v>
      </c>
      <c r="C85" s="104"/>
      <c r="D85" s="85" t="s">
        <v>257</v>
      </c>
      <c r="E85" s="85"/>
      <c r="F85" s="85"/>
      <c r="G85" s="85"/>
      <c r="H85" s="85"/>
      <c r="I85" s="85"/>
      <c r="J85" s="85"/>
      <c r="K85" s="85"/>
    </row>
    <row r="86" customFormat="false" ht="30" hidden="false" customHeight="true" outlineLevel="0" collapsed="false">
      <c r="B86" s="103" t="s">
        <v>258</v>
      </c>
      <c r="C86" s="103"/>
      <c r="D86" s="88" t="s">
        <v>259</v>
      </c>
      <c r="E86" s="88"/>
      <c r="F86" s="88"/>
      <c r="G86" s="88"/>
      <c r="H86" s="88"/>
      <c r="I86" s="88"/>
      <c r="J86" s="88"/>
      <c r="K86" s="88"/>
    </row>
    <row r="87" customFormat="false" ht="30" hidden="false" customHeight="true" outlineLevel="0" collapsed="false">
      <c r="B87" s="104" t="s">
        <v>260</v>
      </c>
      <c r="C87" s="104"/>
      <c r="D87" s="85" t="s">
        <v>261</v>
      </c>
      <c r="E87" s="85"/>
      <c r="F87" s="85"/>
      <c r="G87" s="85"/>
      <c r="H87" s="85"/>
      <c r="I87" s="85"/>
      <c r="J87" s="85"/>
      <c r="K87" s="85"/>
    </row>
    <row r="88" customFormat="false" ht="30" hidden="false" customHeight="true" outlineLevel="0" collapsed="false">
      <c r="B88" s="103" t="s">
        <v>262</v>
      </c>
      <c r="C88" s="103"/>
      <c r="D88" s="88" t="s">
        <v>263</v>
      </c>
      <c r="E88" s="88"/>
      <c r="F88" s="88"/>
      <c r="G88" s="88"/>
      <c r="H88" s="88"/>
      <c r="I88" s="88"/>
      <c r="J88" s="88"/>
      <c r="K88" s="88"/>
    </row>
    <row r="89" customFormat="false" ht="39.75" hidden="false" customHeight="true" outlineLevel="0" collapsed="false">
      <c r="B89" s="104" t="s">
        <v>264</v>
      </c>
      <c r="C89" s="104"/>
      <c r="D89" s="85" t="s">
        <v>265</v>
      </c>
      <c r="E89" s="85"/>
      <c r="F89" s="85"/>
      <c r="G89" s="85"/>
      <c r="H89" s="85"/>
      <c r="I89" s="85"/>
      <c r="J89" s="85"/>
      <c r="K89" s="85"/>
    </row>
    <row r="90" customFormat="false" ht="30" hidden="false" customHeight="true" outlineLevel="0" collapsed="false">
      <c r="B90" s="103" t="s">
        <v>266</v>
      </c>
      <c r="C90" s="103"/>
      <c r="D90" s="88" t="s">
        <v>267</v>
      </c>
      <c r="E90" s="88"/>
      <c r="F90" s="88"/>
      <c r="G90" s="88"/>
      <c r="H90" s="88"/>
      <c r="I90" s="88"/>
      <c r="J90" s="88"/>
      <c r="K90" s="88"/>
    </row>
    <row r="91" customFormat="false" ht="30" hidden="false" customHeight="true" outlineLevel="0" collapsed="false">
      <c r="B91" s="104" t="s">
        <v>268</v>
      </c>
      <c r="C91" s="104"/>
      <c r="D91" s="85" t="s">
        <v>269</v>
      </c>
      <c r="E91" s="85"/>
      <c r="F91" s="85"/>
      <c r="G91" s="85"/>
      <c r="H91" s="85"/>
      <c r="I91" s="85"/>
      <c r="J91" s="85"/>
      <c r="K91" s="85"/>
    </row>
    <row r="92" customFormat="false" ht="30" hidden="false" customHeight="true" outlineLevel="0" collapsed="false">
      <c r="B92" s="105" t="s">
        <v>270</v>
      </c>
      <c r="C92" s="105"/>
      <c r="D92" s="91" t="s">
        <v>271</v>
      </c>
      <c r="E92" s="91"/>
      <c r="F92" s="91"/>
      <c r="G92" s="91"/>
      <c r="H92" s="91"/>
      <c r="I92" s="91"/>
      <c r="J92" s="91"/>
      <c r="K92" s="91"/>
    </row>
    <row r="94" customFormat="false" ht="19.5" hidden="false" customHeight="true" outlineLevel="0" collapsed="false">
      <c r="B94" s="106" t="s">
        <v>272</v>
      </c>
      <c r="C94" s="106"/>
      <c r="D94" s="106"/>
      <c r="E94" s="106"/>
      <c r="F94" s="106"/>
      <c r="G94" s="106"/>
      <c r="H94" s="106"/>
      <c r="I94" s="106"/>
      <c r="J94" s="106"/>
      <c r="K94" s="106"/>
    </row>
    <row r="95" customFormat="false" ht="15.75" hidden="false" customHeight="true" outlineLevel="0" collapsed="false">
      <c r="B95" s="107" t="s">
        <v>273</v>
      </c>
      <c r="C95" s="107"/>
      <c r="D95" s="107"/>
      <c r="E95" s="107"/>
      <c r="F95" s="107"/>
      <c r="G95" s="107"/>
      <c r="H95" s="107"/>
      <c r="I95" s="107"/>
      <c r="J95" s="107"/>
      <c r="K95" s="107"/>
    </row>
    <row r="96" customFormat="false" ht="15.75" hidden="false" customHeight="true" outlineLevel="0" collapsed="false">
      <c r="B96" s="108" t="s">
        <v>274</v>
      </c>
      <c r="C96" s="108"/>
      <c r="D96" s="108"/>
      <c r="E96" s="108"/>
      <c r="F96" s="108"/>
      <c r="G96" s="108"/>
      <c r="H96" s="108"/>
      <c r="I96" s="108"/>
      <c r="J96" s="108"/>
      <c r="K96" s="108"/>
    </row>
    <row r="97" customFormat="false" ht="15.75" hidden="false" customHeight="true" outlineLevel="0" collapsed="false">
      <c r="B97" s="109" t="s">
        <v>275</v>
      </c>
      <c r="C97" s="109"/>
      <c r="D97" s="109"/>
      <c r="E97" s="109"/>
      <c r="F97" s="109"/>
      <c r="G97" s="109"/>
      <c r="H97" s="109"/>
      <c r="I97" s="109"/>
      <c r="J97" s="109"/>
      <c r="K97" s="109"/>
    </row>
    <row r="98" customFormat="false" ht="15.75" hidden="false" customHeight="true" outlineLevel="0" collapsed="false">
      <c r="B98" s="108" t="s">
        <v>276</v>
      </c>
      <c r="C98" s="108"/>
      <c r="D98" s="108"/>
      <c r="E98" s="108"/>
      <c r="F98" s="108"/>
      <c r="G98" s="108"/>
      <c r="H98" s="108"/>
      <c r="I98" s="108"/>
      <c r="J98" s="108"/>
      <c r="K98" s="108"/>
    </row>
    <row r="99" customFormat="false" ht="15.75" hidden="false" customHeight="true" outlineLevel="0" collapsed="false">
      <c r="B99" s="109" t="s">
        <v>277</v>
      </c>
      <c r="C99" s="109"/>
      <c r="D99" s="109"/>
      <c r="E99" s="109"/>
      <c r="F99" s="109"/>
      <c r="G99" s="109"/>
      <c r="H99" s="109"/>
      <c r="I99" s="109"/>
      <c r="J99" s="109"/>
      <c r="K99" s="109"/>
    </row>
    <row r="100" customFormat="false" ht="15.75" hidden="false" customHeight="true" outlineLevel="0" collapsed="false">
      <c r="B100" s="108" t="s">
        <v>278</v>
      </c>
      <c r="C100" s="108"/>
      <c r="D100" s="108"/>
      <c r="E100" s="108"/>
      <c r="F100" s="108"/>
      <c r="G100" s="108"/>
      <c r="H100" s="108"/>
      <c r="I100" s="108"/>
      <c r="J100" s="108"/>
      <c r="K100" s="108"/>
    </row>
    <row r="101" customFormat="false" ht="15.75" hidden="false" customHeight="true" outlineLevel="0" collapsed="false">
      <c r="B101" s="109" t="s">
        <v>279</v>
      </c>
      <c r="C101" s="109"/>
      <c r="D101" s="109"/>
      <c r="E101" s="109"/>
      <c r="F101" s="109"/>
      <c r="G101" s="109"/>
      <c r="H101" s="109"/>
      <c r="I101" s="109"/>
      <c r="J101" s="109"/>
      <c r="K101" s="109"/>
    </row>
    <row r="102" customFormat="false" ht="15.75" hidden="false" customHeight="true" outlineLevel="0" collapsed="false">
      <c r="B102" s="110" t="s">
        <v>280</v>
      </c>
      <c r="C102" s="110"/>
      <c r="D102" s="110"/>
      <c r="E102" s="110"/>
      <c r="F102" s="110"/>
      <c r="G102" s="110"/>
      <c r="H102" s="110"/>
      <c r="I102" s="110"/>
      <c r="J102" s="110"/>
      <c r="K102" s="110"/>
    </row>
    <row r="103" customFormat="false" ht="16.5" hidden="false" customHeight="true" outlineLevel="0" collapsed="false">
      <c r="B103" s="111" t="s">
        <v>281</v>
      </c>
      <c r="C103" s="111"/>
      <c r="D103" s="111"/>
      <c r="E103" s="111"/>
      <c r="F103" s="111"/>
      <c r="G103" s="111"/>
      <c r="H103" s="111"/>
      <c r="I103" s="111"/>
      <c r="J103" s="111"/>
      <c r="K103" s="111"/>
    </row>
  </sheetData>
  <mergeCells count="214">
    <mergeCell ref="B3:K3"/>
    <mergeCell ref="B4:K4"/>
    <mergeCell ref="B6:K6"/>
    <mergeCell ref="B7:K7"/>
    <mergeCell ref="B8:K8"/>
    <mergeCell ref="B9:K9"/>
    <mergeCell ref="B10:K10"/>
    <mergeCell ref="B12:K12"/>
    <mergeCell ref="B13:E13"/>
    <mergeCell ref="F13:H13"/>
    <mergeCell ref="J13:K13"/>
    <mergeCell ref="B14:E14"/>
    <mergeCell ref="F14:H14"/>
    <mergeCell ref="J14:K14"/>
    <mergeCell ref="B15:E15"/>
    <mergeCell ref="F15:H15"/>
    <mergeCell ref="J15:K15"/>
    <mergeCell ref="B16:E16"/>
    <mergeCell ref="F16:H16"/>
    <mergeCell ref="J16:K16"/>
    <mergeCell ref="B17:E17"/>
    <mergeCell ref="F17:H17"/>
    <mergeCell ref="J17:K17"/>
    <mergeCell ref="B18:E18"/>
    <mergeCell ref="F18:H18"/>
    <mergeCell ref="J18:K18"/>
    <mergeCell ref="B19:E19"/>
    <mergeCell ref="F19:H19"/>
    <mergeCell ref="J19:K19"/>
    <mergeCell ref="B21:K21"/>
    <mergeCell ref="D22:E22"/>
    <mergeCell ref="F22:I22"/>
    <mergeCell ref="J22:K22"/>
    <mergeCell ref="D23:E23"/>
    <mergeCell ref="F23:I23"/>
    <mergeCell ref="J23:K23"/>
    <mergeCell ref="D24:E24"/>
    <mergeCell ref="F24:I24"/>
    <mergeCell ref="J24:K24"/>
    <mergeCell ref="D25:E25"/>
    <mergeCell ref="F25:I25"/>
    <mergeCell ref="J25:K25"/>
    <mergeCell ref="D26:E26"/>
    <mergeCell ref="F26:I26"/>
    <mergeCell ref="J26:K26"/>
    <mergeCell ref="D27:E27"/>
    <mergeCell ref="F27:I27"/>
    <mergeCell ref="J27:K27"/>
    <mergeCell ref="D28:E28"/>
    <mergeCell ref="F28:I28"/>
    <mergeCell ref="J28:K28"/>
    <mergeCell ref="D29:E29"/>
    <mergeCell ref="F29:I29"/>
    <mergeCell ref="J29:K29"/>
    <mergeCell ref="D30:E30"/>
    <mergeCell ref="F30:I30"/>
    <mergeCell ref="J30:K30"/>
    <mergeCell ref="D31:E31"/>
    <mergeCell ref="F31:I31"/>
    <mergeCell ref="J31:K31"/>
    <mergeCell ref="D32:E32"/>
    <mergeCell ref="F32:I32"/>
    <mergeCell ref="J32:K32"/>
    <mergeCell ref="D33:E33"/>
    <mergeCell ref="F33:I33"/>
    <mergeCell ref="J33:K33"/>
    <mergeCell ref="D34:E34"/>
    <mergeCell ref="F34:I34"/>
    <mergeCell ref="J34:K34"/>
    <mergeCell ref="D35:E35"/>
    <mergeCell ref="F35:I35"/>
    <mergeCell ref="J35:K35"/>
    <mergeCell ref="D36:E36"/>
    <mergeCell ref="F36:I36"/>
    <mergeCell ref="J36:K36"/>
    <mergeCell ref="D37:E37"/>
    <mergeCell ref="F37:I37"/>
    <mergeCell ref="J37:K37"/>
    <mergeCell ref="D38:E38"/>
    <mergeCell ref="F38:I38"/>
    <mergeCell ref="J38:K38"/>
    <mergeCell ref="D39:E39"/>
    <mergeCell ref="F39:I39"/>
    <mergeCell ref="J39:K39"/>
    <mergeCell ref="B41:K41"/>
    <mergeCell ref="B42:D42"/>
    <mergeCell ref="E42:K42"/>
    <mergeCell ref="B43:D43"/>
    <mergeCell ref="E43:K43"/>
    <mergeCell ref="B44:D44"/>
    <mergeCell ref="E44:K44"/>
    <mergeCell ref="B45:D45"/>
    <mergeCell ref="E45:K45"/>
    <mergeCell ref="B46:D46"/>
    <mergeCell ref="E46:K46"/>
    <mergeCell ref="B47:D47"/>
    <mergeCell ref="E47:K47"/>
    <mergeCell ref="B48:D48"/>
    <mergeCell ref="E48:K48"/>
    <mergeCell ref="B50:K50"/>
    <mergeCell ref="B51:E51"/>
    <mergeCell ref="F51:I51"/>
    <mergeCell ref="J51:K51"/>
    <mergeCell ref="B52:E52"/>
    <mergeCell ref="F52:I52"/>
    <mergeCell ref="J52:K52"/>
    <mergeCell ref="B53:E53"/>
    <mergeCell ref="F53:I53"/>
    <mergeCell ref="J53:K53"/>
    <mergeCell ref="B54:E54"/>
    <mergeCell ref="F54:I54"/>
    <mergeCell ref="J54:K54"/>
    <mergeCell ref="B55:E55"/>
    <mergeCell ref="F55:I55"/>
    <mergeCell ref="J55:K55"/>
    <mergeCell ref="B56:E56"/>
    <mergeCell ref="F56:I56"/>
    <mergeCell ref="J56:K56"/>
    <mergeCell ref="B57:E57"/>
    <mergeCell ref="F57:I57"/>
    <mergeCell ref="J57:K57"/>
    <mergeCell ref="B58:E58"/>
    <mergeCell ref="F58:I58"/>
    <mergeCell ref="J58:K58"/>
    <mergeCell ref="B59:E59"/>
    <mergeCell ref="F59:I59"/>
    <mergeCell ref="J59:K59"/>
    <mergeCell ref="B60:E60"/>
    <mergeCell ref="F60:I60"/>
    <mergeCell ref="J60:K60"/>
    <mergeCell ref="B61:E61"/>
    <mergeCell ref="F61:I61"/>
    <mergeCell ref="J61:K61"/>
    <mergeCell ref="B62:E62"/>
    <mergeCell ref="F62:I62"/>
    <mergeCell ref="J62:K62"/>
    <mergeCell ref="B63:E63"/>
    <mergeCell ref="F63:I63"/>
    <mergeCell ref="J63:K63"/>
    <mergeCell ref="B65:K65"/>
    <mergeCell ref="B66:K66"/>
    <mergeCell ref="B67:E67"/>
    <mergeCell ref="F67:H67"/>
    <mergeCell ref="I67:K67"/>
    <mergeCell ref="B68:E68"/>
    <mergeCell ref="F68:H68"/>
    <mergeCell ref="I68:K68"/>
    <mergeCell ref="B69:E69"/>
    <mergeCell ref="F69:H69"/>
    <mergeCell ref="I69:K69"/>
    <mergeCell ref="B70:E70"/>
    <mergeCell ref="F70:H70"/>
    <mergeCell ref="I70:K70"/>
    <mergeCell ref="B71:E71"/>
    <mergeCell ref="F71:H71"/>
    <mergeCell ref="I71:K71"/>
    <mergeCell ref="B72:E72"/>
    <mergeCell ref="F72:H72"/>
    <mergeCell ref="I72:K72"/>
    <mergeCell ref="B73:E73"/>
    <mergeCell ref="F73:H73"/>
    <mergeCell ref="I73:K73"/>
    <mergeCell ref="B74:E74"/>
    <mergeCell ref="F74:H74"/>
    <mergeCell ref="I74:K74"/>
    <mergeCell ref="B75:E75"/>
    <mergeCell ref="F75:H75"/>
    <mergeCell ref="I75:K75"/>
    <mergeCell ref="B76:E76"/>
    <mergeCell ref="F76:H76"/>
    <mergeCell ref="I76:K76"/>
    <mergeCell ref="B77:E77"/>
    <mergeCell ref="F77:H77"/>
    <mergeCell ref="I77:K77"/>
    <mergeCell ref="B78:E78"/>
    <mergeCell ref="F78:H78"/>
    <mergeCell ref="I78:K78"/>
    <mergeCell ref="B79:E79"/>
    <mergeCell ref="F79:H79"/>
    <mergeCell ref="I79:K79"/>
    <mergeCell ref="B80:E80"/>
    <mergeCell ref="F80:H80"/>
    <mergeCell ref="I80:K80"/>
    <mergeCell ref="B82:K82"/>
    <mergeCell ref="B83:C83"/>
    <mergeCell ref="D83:K83"/>
    <mergeCell ref="B84:C84"/>
    <mergeCell ref="D84:K84"/>
    <mergeCell ref="B85:C85"/>
    <mergeCell ref="D85:K85"/>
    <mergeCell ref="B86:C86"/>
    <mergeCell ref="D86:K86"/>
    <mergeCell ref="B87:C87"/>
    <mergeCell ref="D87:K87"/>
    <mergeCell ref="B88:C88"/>
    <mergeCell ref="D88:K88"/>
    <mergeCell ref="B89:C89"/>
    <mergeCell ref="D89:K89"/>
    <mergeCell ref="B90:C90"/>
    <mergeCell ref="D90:K90"/>
    <mergeCell ref="B91:C91"/>
    <mergeCell ref="D91:K91"/>
    <mergeCell ref="B92:C92"/>
    <mergeCell ref="D92:K92"/>
    <mergeCell ref="B94:K94"/>
    <mergeCell ref="B95:K95"/>
    <mergeCell ref="B96:K96"/>
    <mergeCell ref="B97:K97"/>
    <mergeCell ref="B98:K98"/>
    <mergeCell ref="B99:K99"/>
    <mergeCell ref="B100:K100"/>
    <mergeCell ref="B101:K101"/>
    <mergeCell ref="B102:K102"/>
    <mergeCell ref="B103:K103"/>
  </mergeCells>
  <dataValidations count="1">
    <dataValidation allowBlank="true" errorStyle="stop" operator="between" prompt="A fazer, Pesquisando, Reservado ou Pago." promptTitle="Status da reserva" showDropDown="false" showErrorMessage="false" showInputMessage="false" sqref="J52:J63" type="list">
      <formula1>STATUS_RESERVA</formula1>
      <formula2>0</formula2>
    </dataValidation>
  </dataValidations>
  <hyperlinks>
    <hyperlink ref="B95" r:id="rId1" display="japan-guide.com — roteiros sugeridos pelo Japão  —  https://www.japan-guide.com/e/e2400.html"/>
    <hyperlink ref="B96" r:id="rId2" display="japan-guide.com — Fuji Shibazakura Festival  —  https://www.japan-guide.com/e/e6919.html"/>
    <hyperlink ref="B97" r:id="rId3" display="JNTO (turismo oficial do Japão) — Rota Dourada  —  https://www.japan.travel/en/gc/itineraries/long-plan/"/>
    <hyperlink ref="B98" r:id="rId4" display="Tokyo Disney Resort — compra oficial de ingressos  —  https://www.tokyodisneyresort.jp/en/ticket/purchase.html"/>
    <hyperlink ref="B99" r:id="rId5" display="Rakuten Travel — feriados nacionais e Golden Week  —  https://travel.rakuten.com/contents/usa/en-us/guide/japanese-national-holidays-golden-week/"/>
    <hyperlink ref="B100" r:id="rId6" display="Panrotas — isenção de visto Brasil-Japão prorrogada até 2029  —  https://www.panrotas.com.br/mercado/destinos/2026/07/brasil-e-japao-prorrogam-isencao-de-vistos-para-turistas-ate-2029_230682.html"/>
    <hyperlink ref="B101" r:id="rId7" display="Tokyo Cheapo — bate-volta de Tóquio a Kawaguchiko  —  https://tokyocheapo.com/entertainment/tokyo-to-kawaguchiko-day-trip-guide/"/>
    <hyperlink ref="B102" r:id="rId8" display="Wise — histórico da cotação iene / real  —  https://wise.com/us/currency-converter/jpy-to-brl-rate/history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5DB0"/>
    <pageSetUpPr fitToPage="tru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9"/>
    <col collapsed="false" customWidth="true" hidden="false" outlineLevel="0" max="8" min="8" style="0" width="17"/>
    <col collapsed="false" customWidth="true" hidden="false" outlineLevel="0" max="9" min="9" style="0" width="12"/>
  </cols>
  <sheetData>
    <row r="1" customFormat="false" ht="6" hidden="false" customHeight="true" outlineLevel="0" collapsed="false"/>
    <row r="2" customFormat="false" ht="6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36" hidden="false" customHeight="true" outlineLevel="0" collapsed="false">
      <c r="A3" s="2" t="s">
        <v>282</v>
      </c>
      <c r="B3" s="2"/>
      <c r="C3" s="2"/>
      <c r="D3" s="2"/>
      <c r="E3" s="2"/>
      <c r="F3" s="2"/>
      <c r="G3" s="2"/>
      <c r="H3" s="2"/>
      <c r="I3" s="2"/>
    </row>
    <row r="4" customFormat="false" ht="19.5" hidden="false" customHeight="true" outlineLevel="0" collapsed="false">
      <c r="A4" s="3" t="s">
        <v>283</v>
      </c>
      <c r="B4" s="3"/>
      <c r="C4" s="3"/>
      <c r="D4" s="3"/>
      <c r="E4" s="3"/>
      <c r="F4" s="3"/>
      <c r="G4" s="3"/>
      <c r="H4" s="3"/>
      <c r="I4" s="3"/>
    </row>
    <row r="5" customFormat="false" ht="12" hidden="false" customHeight="true" outlineLevel="0" collapsed="false"/>
    <row r="6" customFormat="false" ht="27.75" hidden="false" customHeight="true" outlineLevel="0" collapsed="false">
      <c r="A6" s="35" t="s">
        <v>55</v>
      </c>
      <c r="B6" s="36" t="s">
        <v>284</v>
      </c>
      <c r="C6" s="36" t="s">
        <v>285</v>
      </c>
      <c r="D6" s="36" t="str">
        <f aca="false">Listas!$B$11</f>
        <v>Alimentação</v>
      </c>
      <c r="E6" s="36" t="str">
        <f aca="false">Listas!$B$10</f>
        <v>Transporte local (metrô/ônibus/táxi)</v>
      </c>
      <c r="F6" s="36" t="str">
        <f aca="false">Listas!$B$12</f>
        <v>Passeios e Ingressos</v>
      </c>
      <c r="G6" s="36" t="str">
        <f aca="false">Listas!$B$14</f>
        <v>Compras e Souvenirs</v>
      </c>
      <c r="H6" s="36" t="s">
        <v>286</v>
      </c>
      <c r="I6" s="37" t="s">
        <v>37</v>
      </c>
    </row>
    <row r="7" customFormat="false" ht="18" hidden="false" customHeight="true" outlineLevel="0" collapsed="false">
      <c r="A7" s="112" t="n">
        <f aca="false">IF(Painel!$C$7="","",Painel!$C$7)</f>
        <v>46507</v>
      </c>
      <c r="B7" s="113" t="n">
        <f aca="false">IF($A7="","",SUMIFS(Gastos!$J$7:$J$180,Gastos!$A$7:$A$180,$A7))</f>
        <v>0</v>
      </c>
      <c r="C7" s="114" t="n">
        <f aca="false">IF($A7="","",SUM($B$7:$B7))</f>
        <v>0</v>
      </c>
      <c r="D7" s="114" t="n">
        <f aca="false">IF($A7="","",SUMIFS(Gastos!$J$7:$J$180,Gastos!$A$7:$A$180,$A7,Gastos!$B$7:$B$180,D$6))</f>
        <v>0</v>
      </c>
      <c r="E7" s="114" t="n">
        <f aca="false">IF($A7="","",SUMIFS(Gastos!$J$7:$J$180,Gastos!$A$7:$A$180,$A7,Gastos!$B$7:$B$180,E$6))</f>
        <v>0</v>
      </c>
      <c r="F7" s="114" t="n">
        <f aca="false">IF($A7="","",SUMIFS(Gastos!$J$7:$J$180,Gastos!$A$7:$A$180,$A7,Gastos!$B$7:$B$180,F$6))</f>
        <v>0</v>
      </c>
      <c r="G7" s="114" t="n">
        <f aca="false">IF($A7="","",SUMIFS(Gastos!$J$7:$J$180,Gastos!$A$7:$A$180,$A7,Gastos!$B$7:$B$180,G$6))</f>
        <v>0</v>
      </c>
      <c r="H7" s="114" t="n">
        <f aca="false">IF($A7="","",$B7-SUM($D7:$G7))</f>
        <v>0</v>
      </c>
      <c r="I7" s="115" t="n">
        <f aca="false">IF($A7="","",COUNTIFS(Gastos!$A$7:$A$180,$A7))</f>
        <v>0</v>
      </c>
    </row>
    <row r="8" customFormat="false" ht="18" hidden="false" customHeight="true" outlineLevel="0" collapsed="false">
      <c r="A8" s="116" t="n">
        <f aca="false">IF($A7="","",IF($A7+1&gt;Painel!$C$8,"",$A7+1))</f>
        <v>46508</v>
      </c>
      <c r="B8" s="117" t="n">
        <f aca="false">IF($A8="","",SUMIFS(Gastos!$J$7:$J$180,Gastos!$A$7:$A$180,$A8))</f>
        <v>0</v>
      </c>
      <c r="C8" s="118" t="n">
        <f aca="false">IF($A8="","",SUM($B$7:$B8))</f>
        <v>0</v>
      </c>
      <c r="D8" s="118" t="n">
        <f aca="false">IF($A8="","",SUMIFS(Gastos!$J$7:$J$180,Gastos!$A$7:$A$180,$A8,Gastos!$B$7:$B$180,D$6))</f>
        <v>0</v>
      </c>
      <c r="E8" s="118" t="n">
        <f aca="false">IF($A8="","",SUMIFS(Gastos!$J$7:$J$180,Gastos!$A$7:$A$180,$A8,Gastos!$B$7:$B$180,E$6))</f>
        <v>0</v>
      </c>
      <c r="F8" s="118" t="n">
        <f aca="false">IF($A8="","",SUMIFS(Gastos!$J$7:$J$180,Gastos!$A$7:$A$180,$A8,Gastos!$B$7:$B$180,F$6))</f>
        <v>0</v>
      </c>
      <c r="G8" s="118" t="n">
        <f aca="false">IF($A8="","",SUMIFS(Gastos!$J$7:$J$180,Gastos!$A$7:$A$180,$A8,Gastos!$B$7:$B$180,G$6))</f>
        <v>0</v>
      </c>
      <c r="H8" s="118" t="n">
        <f aca="false">IF($A8="","",$B8-SUM($D8:$G8))</f>
        <v>0</v>
      </c>
      <c r="I8" s="119" t="n">
        <f aca="false">IF($A8="","",COUNTIFS(Gastos!$A$7:$A$180,$A8))</f>
        <v>0</v>
      </c>
    </row>
    <row r="9" customFormat="false" ht="18" hidden="false" customHeight="true" outlineLevel="0" collapsed="false">
      <c r="A9" s="112" t="n">
        <f aca="false">IF($A8="","",IF($A8+1&gt;Painel!$C$8,"",$A8+1))</f>
        <v>46509</v>
      </c>
      <c r="B9" s="113" t="n">
        <f aca="false">IF($A9="","",SUMIFS(Gastos!$J$7:$J$180,Gastos!$A$7:$A$180,$A9))</f>
        <v>0</v>
      </c>
      <c r="C9" s="114" t="n">
        <f aca="false">IF($A9="","",SUM($B$7:$B9))</f>
        <v>0</v>
      </c>
      <c r="D9" s="114" t="n">
        <f aca="false">IF($A9="","",SUMIFS(Gastos!$J$7:$J$180,Gastos!$A$7:$A$180,$A9,Gastos!$B$7:$B$180,D$6))</f>
        <v>0</v>
      </c>
      <c r="E9" s="114" t="n">
        <f aca="false">IF($A9="","",SUMIFS(Gastos!$J$7:$J$180,Gastos!$A$7:$A$180,$A9,Gastos!$B$7:$B$180,E$6))</f>
        <v>0</v>
      </c>
      <c r="F9" s="114" t="n">
        <f aca="false">IF($A9="","",SUMIFS(Gastos!$J$7:$J$180,Gastos!$A$7:$A$180,$A9,Gastos!$B$7:$B$180,F$6))</f>
        <v>0</v>
      </c>
      <c r="G9" s="114" t="n">
        <f aca="false">IF($A9="","",SUMIFS(Gastos!$J$7:$J$180,Gastos!$A$7:$A$180,$A9,Gastos!$B$7:$B$180,G$6))</f>
        <v>0</v>
      </c>
      <c r="H9" s="114" t="n">
        <f aca="false">IF($A9="","",$B9-SUM($D9:$G9))</f>
        <v>0</v>
      </c>
      <c r="I9" s="115" t="n">
        <f aca="false">IF($A9="","",COUNTIFS(Gastos!$A$7:$A$180,$A9))</f>
        <v>0</v>
      </c>
    </row>
    <row r="10" customFormat="false" ht="18" hidden="false" customHeight="true" outlineLevel="0" collapsed="false">
      <c r="A10" s="116" t="n">
        <f aca="false">IF($A9="","",IF($A9+1&gt;Painel!$C$8,"",$A9+1))</f>
        <v>46510</v>
      </c>
      <c r="B10" s="117" t="n">
        <f aca="false">IF($A10="","",SUMIFS(Gastos!$J$7:$J$180,Gastos!$A$7:$A$180,$A10))</f>
        <v>0</v>
      </c>
      <c r="C10" s="118" t="n">
        <f aca="false">IF($A10="","",SUM($B$7:$B10))</f>
        <v>0</v>
      </c>
      <c r="D10" s="118" t="n">
        <f aca="false">IF($A10="","",SUMIFS(Gastos!$J$7:$J$180,Gastos!$A$7:$A$180,$A10,Gastos!$B$7:$B$180,D$6))</f>
        <v>0</v>
      </c>
      <c r="E10" s="118" t="n">
        <f aca="false">IF($A10="","",SUMIFS(Gastos!$J$7:$J$180,Gastos!$A$7:$A$180,$A10,Gastos!$B$7:$B$180,E$6))</f>
        <v>0</v>
      </c>
      <c r="F10" s="118" t="n">
        <f aca="false">IF($A10="","",SUMIFS(Gastos!$J$7:$J$180,Gastos!$A$7:$A$180,$A10,Gastos!$B$7:$B$180,F$6))</f>
        <v>0</v>
      </c>
      <c r="G10" s="118" t="n">
        <f aca="false">IF($A10="","",SUMIFS(Gastos!$J$7:$J$180,Gastos!$A$7:$A$180,$A10,Gastos!$B$7:$B$180,G$6))</f>
        <v>0</v>
      </c>
      <c r="H10" s="118" t="n">
        <f aca="false">IF($A10="","",$B10-SUM($D10:$G10))</f>
        <v>0</v>
      </c>
      <c r="I10" s="119" t="n">
        <f aca="false">IF($A10="","",COUNTIFS(Gastos!$A$7:$A$180,$A10))</f>
        <v>0</v>
      </c>
    </row>
    <row r="11" customFormat="false" ht="18" hidden="false" customHeight="true" outlineLevel="0" collapsed="false">
      <c r="A11" s="112" t="n">
        <f aca="false">IF($A10="","",IF($A10+1&gt;Painel!$C$8,"",$A10+1))</f>
        <v>46511</v>
      </c>
      <c r="B11" s="113" t="n">
        <f aca="false">IF($A11="","",SUMIFS(Gastos!$J$7:$J$180,Gastos!$A$7:$A$180,$A11))</f>
        <v>0</v>
      </c>
      <c r="C11" s="114" t="n">
        <f aca="false">IF($A11="","",SUM($B$7:$B11))</f>
        <v>0</v>
      </c>
      <c r="D11" s="114" t="n">
        <f aca="false">IF($A11="","",SUMIFS(Gastos!$J$7:$J$180,Gastos!$A$7:$A$180,$A11,Gastos!$B$7:$B$180,D$6))</f>
        <v>0</v>
      </c>
      <c r="E11" s="114" t="n">
        <f aca="false">IF($A11="","",SUMIFS(Gastos!$J$7:$J$180,Gastos!$A$7:$A$180,$A11,Gastos!$B$7:$B$180,E$6))</f>
        <v>0</v>
      </c>
      <c r="F11" s="114" t="n">
        <f aca="false">IF($A11="","",SUMIFS(Gastos!$J$7:$J$180,Gastos!$A$7:$A$180,$A11,Gastos!$B$7:$B$180,F$6))</f>
        <v>0</v>
      </c>
      <c r="G11" s="114" t="n">
        <f aca="false">IF($A11="","",SUMIFS(Gastos!$J$7:$J$180,Gastos!$A$7:$A$180,$A11,Gastos!$B$7:$B$180,G$6))</f>
        <v>0</v>
      </c>
      <c r="H11" s="114" t="n">
        <f aca="false">IF($A11="","",$B11-SUM($D11:$G11))</f>
        <v>0</v>
      </c>
      <c r="I11" s="115" t="n">
        <f aca="false">IF($A11="","",COUNTIFS(Gastos!$A$7:$A$180,$A11))</f>
        <v>0</v>
      </c>
    </row>
    <row r="12" customFormat="false" ht="18" hidden="false" customHeight="true" outlineLevel="0" collapsed="false">
      <c r="A12" s="116" t="n">
        <f aca="false">IF($A11="","",IF($A11+1&gt;Painel!$C$8,"",$A11+1))</f>
        <v>46512</v>
      </c>
      <c r="B12" s="117" t="n">
        <f aca="false">IF($A12="","",SUMIFS(Gastos!$J$7:$J$180,Gastos!$A$7:$A$180,$A12))</f>
        <v>0</v>
      </c>
      <c r="C12" s="118" t="n">
        <f aca="false">IF($A12="","",SUM($B$7:$B12))</f>
        <v>0</v>
      </c>
      <c r="D12" s="118" t="n">
        <f aca="false">IF($A12="","",SUMIFS(Gastos!$J$7:$J$180,Gastos!$A$7:$A$180,$A12,Gastos!$B$7:$B$180,D$6))</f>
        <v>0</v>
      </c>
      <c r="E12" s="118" t="n">
        <f aca="false">IF($A12="","",SUMIFS(Gastos!$J$7:$J$180,Gastos!$A$7:$A$180,$A12,Gastos!$B$7:$B$180,E$6))</f>
        <v>0</v>
      </c>
      <c r="F12" s="118" t="n">
        <f aca="false">IF($A12="","",SUMIFS(Gastos!$J$7:$J$180,Gastos!$A$7:$A$180,$A12,Gastos!$B$7:$B$180,F$6))</f>
        <v>0</v>
      </c>
      <c r="G12" s="118" t="n">
        <f aca="false">IF($A12="","",SUMIFS(Gastos!$J$7:$J$180,Gastos!$A$7:$A$180,$A12,Gastos!$B$7:$B$180,G$6))</f>
        <v>0</v>
      </c>
      <c r="H12" s="118" t="n">
        <f aca="false">IF($A12="","",$B12-SUM($D12:$G12))</f>
        <v>0</v>
      </c>
      <c r="I12" s="119" t="n">
        <f aca="false">IF($A12="","",COUNTIFS(Gastos!$A$7:$A$180,$A12))</f>
        <v>0</v>
      </c>
    </row>
    <row r="13" customFormat="false" ht="18" hidden="false" customHeight="true" outlineLevel="0" collapsed="false">
      <c r="A13" s="112" t="n">
        <f aca="false">IF($A12="","",IF($A12+1&gt;Painel!$C$8,"",$A12+1))</f>
        <v>46513</v>
      </c>
      <c r="B13" s="113" t="n">
        <f aca="false">IF($A13="","",SUMIFS(Gastos!$J$7:$J$180,Gastos!$A$7:$A$180,$A13))</f>
        <v>0</v>
      </c>
      <c r="C13" s="114" t="n">
        <f aca="false">IF($A13="","",SUM($B$7:$B13))</f>
        <v>0</v>
      </c>
      <c r="D13" s="114" t="n">
        <f aca="false">IF($A13="","",SUMIFS(Gastos!$J$7:$J$180,Gastos!$A$7:$A$180,$A13,Gastos!$B$7:$B$180,D$6))</f>
        <v>0</v>
      </c>
      <c r="E13" s="114" t="n">
        <f aca="false">IF($A13="","",SUMIFS(Gastos!$J$7:$J$180,Gastos!$A$7:$A$180,$A13,Gastos!$B$7:$B$180,E$6))</f>
        <v>0</v>
      </c>
      <c r="F13" s="114" t="n">
        <f aca="false">IF($A13="","",SUMIFS(Gastos!$J$7:$J$180,Gastos!$A$7:$A$180,$A13,Gastos!$B$7:$B$180,F$6))</f>
        <v>0</v>
      </c>
      <c r="G13" s="114" t="n">
        <f aca="false">IF($A13="","",SUMIFS(Gastos!$J$7:$J$180,Gastos!$A$7:$A$180,$A13,Gastos!$B$7:$B$180,G$6))</f>
        <v>0</v>
      </c>
      <c r="H13" s="114" t="n">
        <f aca="false">IF($A13="","",$B13-SUM($D13:$G13))</f>
        <v>0</v>
      </c>
      <c r="I13" s="115" t="n">
        <f aca="false">IF($A13="","",COUNTIFS(Gastos!$A$7:$A$180,$A13))</f>
        <v>0</v>
      </c>
    </row>
    <row r="14" customFormat="false" ht="18" hidden="false" customHeight="true" outlineLevel="0" collapsed="false">
      <c r="A14" s="116" t="n">
        <f aca="false">IF($A13="","",IF($A13+1&gt;Painel!$C$8,"",$A13+1))</f>
        <v>46514</v>
      </c>
      <c r="B14" s="117" t="n">
        <f aca="false">IF($A14="","",SUMIFS(Gastos!$J$7:$J$180,Gastos!$A$7:$A$180,$A14))</f>
        <v>0</v>
      </c>
      <c r="C14" s="118" t="n">
        <f aca="false">IF($A14="","",SUM($B$7:$B14))</f>
        <v>0</v>
      </c>
      <c r="D14" s="118" t="n">
        <f aca="false">IF($A14="","",SUMIFS(Gastos!$J$7:$J$180,Gastos!$A$7:$A$180,$A14,Gastos!$B$7:$B$180,D$6))</f>
        <v>0</v>
      </c>
      <c r="E14" s="118" t="n">
        <f aca="false">IF($A14="","",SUMIFS(Gastos!$J$7:$J$180,Gastos!$A$7:$A$180,$A14,Gastos!$B$7:$B$180,E$6))</f>
        <v>0</v>
      </c>
      <c r="F14" s="118" t="n">
        <f aca="false">IF($A14="","",SUMIFS(Gastos!$J$7:$J$180,Gastos!$A$7:$A$180,$A14,Gastos!$B$7:$B$180,F$6))</f>
        <v>0</v>
      </c>
      <c r="G14" s="118" t="n">
        <f aca="false">IF($A14="","",SUMIFS(Gastos!$J$7:$J$180,Gastos!$A$7:$A$180,$A14,Gastos!$B$7:$B$180,G$6))</f>
        <v>0</v>
      </c>
      <c r="H14" s="118" t="n">
        <f aca="false">IF($A14="","",$B14-SUM($D14:$G14))</f>
        <v>0</v>
      </c>
      <c r="I14" s="119" t="n">
        <f aca="false">IF($A14="","",COUNTIFS(Gastos!$A$7:$A$180,$A14))</f>
        <v>0</v>
      </c>
    </row>
    <row r="15" customFormat="false" ht="18" hidden="false" customHeight="true" outlineLevel="0" collapsed="false">
      <c r="A15" s="112" t="n">
        <f aca="false">IF($A14="","",IF($A14+1&gt;Painel!$C$8,"",$A14+1))</f>
        <v>46515</v>
      </c>
      <c r="B15" s="113" t="n">
        <f aca="false">IF($A15="","",SUMIFS(Gastos!$J$7:$J$180,Gastos!$A$7:$A$180,$A15))</f>
        <v>0</v>
      </c>
      <c r="C15" s="114" t="n">
        <f aca="false">IF($A15="","",SUM($B$7:$B15))</f>
        <v>0</v>
      </c>
      <c r="D15" s="114" t="n">
        <f aca="false">IF($A15="","",SUMIFS(Gastos!$J$7:$J$180,Gastos!$A$7:$A$180,$A15,Gastos!$B$7:$B$180,D$6))</f>
        <v>0</v>
      </c>
      <c r="E15" s="114" t="n">
        <f aca="false">IF($A15="","",SUMIFS(Gastos!$J$7:$J$180,Gastos!$A$7:$A$180,$A15,Gastos!$B$7:$B$180,E$6))</f>
        <v>0</v>
      </c>
      <c r="F15" s="114" t="n">
        <f aca="false">IF($A15="","",SUMIFS(Gastos!$J$7:$J$180,Gastos!$A$7:$A$180,$A15,Gastos!$B$7:$B$180,F$6))</f>
        <v>0</v>
      </c>
      <c r="G15" s="114" t="n">
        <f aca="false">IF($A15="","",SUMIFS(Gastos!$J$7:$J$180,Gastos!$A$7:$A$180,$A15,Gastos!$B$7:$B$180,G$6))</f>
        <v>0</v>
      </c>
      <c r="H15" s="114" t="n">
        <f aca="false">IF($A15="","",$B15-SUM($D15:$G15))</f>
        <v>0</v>
      </c>
      <c r="I15" s="115" t="n">
        <f aca="false">IF($A15="","",COUNTIFS(Gastos!$A$7:$A$180,$A15))</f>
        <v>0</v>
      </c>
    </row>
    <row r="16" customFormat="false" ht="18" hidden="false" customHeight="true" outlineLevel="0" collapsed="false">
      <c r="A16" s="116" t="n">
        <f aca="false">IF($A15="","",IF($A15+1&gt;Painel!$C$8,"",$A15+1))</f>
        <v>46516</v>
      </c>
      <c r="B16" s="117" t="n">
        <f aca="false">IF($A16="","",SUMIFS(Gastos!$J$7:$J$180,Gastos!$A$7:$A$180,$A16))</f>
        <v>0</v>
      </c>
      <c r="C16" s="118" t="n">
        <f aca="false">IF($A16="","",SUM($B$7:$B16))</f>
        <v>0</v>
      </c>
      <c r="D16" s="118" t="n">
        <f aca="false">IF($A16="","",SUMIFS(Gastos!$J$7:$J$180,Gastos!$A$7:$A$180,$A16,Gastos!$B$7:$B$180,D$6))</f>
        <v>0</v>
      </c>
      <c r="E16" s="118" t="n">
        <f aca="false">IF($A16="","",SUMIFS(Gastos!$J$7:$J$180,Gastos!$A$7:$A$180,$A16,Gastos!$B$7:$B$180,E$6))</f>
        <v>0</v>
      </c>
      <c r="F16" s="118" t="n">
        <f aca="false">IF($A16="","",SUMIFS(Gastos!$J$7:$J$180,Gastos!$A$7:$A$180,$A16,Gastos!$B$7:$B$180,F$6))</f>
        <v>0</v>
      </c>
      <c r="G16" s="118" t="n">
        <f aca="false">IF($A16="","",SUMIFS(Gastos!$J$7:$J$180,Gastos!$A$7:$A$180,$A16,Gastos!$B$7:$B$180,G$6))</f>
        <v>0</v>
      </c>
      <c r="H16" s="118" t="n">
        <f aca="false">IF($A16="","",$B16-SUM($D16:$G16))</f>
        <v>0</v>
      </c>
      <c r="I16" s="119" t="n">
        <f aca="false">IF($A16="","",COUNTIFS(Gastos!$A$7:$A$180,$A16))</f>
        <v>0</v>
      </c>
    </row>
    <row r="17" customFormat="false" ht="18" hidden="false" customHeight="true" outlineLevel="0" collapsed="false">
      <c r="A17" s="112" t="n">
        <f aca="false">IF($A16="","",IF($A16+1&gt;Painel!$C$8,"",$A16+1))</f>
        <v>46517</v>
      </c>
      <c r="B17" s="113" t="n">
        <f aca="false">IF($A17="","",SUMIFS(Gastos!$J$7:$J$180,Gastos!$A$7:$A$180,$A17))</f>
        <v>0</v>
      </c>
      <c r="C17" s="114" t="n">
        <f aca="false">IF($A17="","",SUM($B$7:$B17))</f>
        <v>0</v>
      </c>
      <c r="D17" s="114" t="n">
        <f aca="false">IF($A17="","",SUMIFS(Gastos!$J$7:$J$180,Gastos!$A$7:$A$180,$A17,Gastos!$B$7:$B$180,D$6))</f>
        <v>0</v>
      </c>
      <c r="E17" s="114" t="n">
        <f aca="false">IF($A17="","",SUMIFS(Gastos!$J$7:$J$180,Gastos!$A$7:$A$180,$A17,Gastos!$B$7:$B$180,E$6))</f>
        <v>0</v>
      </c>
      <c r="F17" s="114" t="n">
        <f aca="false">IF($A17="","",SUMIFS(Gastos!$J$7:$J$180,Gastos!$A$7:$A$180,$A17,Gastos!$B$7:$B$180,F$6))</f>
        <v>0</v>
      </c>
      <c r="G17" s="114" t="n">
        <f aca="false">IF($A17="","",SUMIFS(Gastos!$J$7:$J$180,Gastos!$A$7:$A$180,$A17,Gastos!$B$7:$B$180,G$6))</f>
        <v>0</v>
      </c>
      <c r="H17" s="114" t="n">
        <f aca="false">IF($A17="","",$B17-SUM($D17:$G17))</f>
        <v>0</v>
      </c>
      <c r="I17" s="115" t="n">
        <f aca="false">IF($A17="","",COUNTIFS(Gastos!$A$7:$A$180,$A17))</f>
        <v>0</v>
      </c>
    </row>
    <row r="18" customFormat="false" ht="18" hidden="false" customHeight="true" outlineLevel="0" collapsed="false">
      <c r="A18" s="116" t="n">
        <f aca="false">IF($A17="","",IF($A17+1&gt;Painel!$C$8,"",$A17+1))</f>
        <v>46518</v>
      </c>
      <c r="B18" s="117" t="n">
        <f aca="false">IF($A18="","",SUMIFS(Gastos!$J$7:$J$180,Gastos!$A$7:$A$180,$A18))</f>
        <v>0</v>
      </c>
      <c r="C18" s="118" t="n">
        <f aca="false">IF($A18="","",SUM($B$7:$B18))</f>
        <v>0</v>
      </c>
      <c r="D18" s="118" t="n">
        <f aca="false">IF($A18="","",SUMIFS(Gastos!$J$7:$J$180,Gastos!$A$7:$A$180,$A18,Gastos!$B$7:$B$180,D$6))</f>
        <v>0</v>
      </c>
      <c r="E18" s="118" t="n">
        <f aca="false">IF($A18="","",SUMIFS(Gastos!$J$7:$J$180,Gastos!$A$7:$A$180,$A18,Gastos!$B$7:$B$180,E$6))</f>
        <v>0</v>
      </c>
      <c r="F18" s="118" t="n">
        <f aca="false">IF($A18="","",SUMIFS(Gastos!$J$7:$J$180,Gastos!$A$7:$A$180,$A18,Gastos!$B$7:$B$180,F$6))</f>
        <v>0</v>
      </c>
      <c r="G18" s="118" t="n">
        <f aca="false">IF($A18="","",SUMIFS(Gastos!$J$7:$J$180,Gastos!$A$7:$A$180,$A18,Gastos!$B$7:$B$180,G$6))</f>
        <v>0</v>
      </c>
      <c r="H18" s="118" t="n">
        <f aca="false">IF($A18="","",$B18-SUM($D18:$G18))</f>
        <v>0</v>
      </c>
      <c r="I18" s="119" t="n">
        <f aca="false">IF($A18="","",COUNTIFS(Gastos!$A$7:$A$180,$A18))</f>
        <v>0</v>
      </c>
    </row>
    <row r="19" customFormat="false" ht="18" hidden="false" customHeight="true" outlineLevel="0" collapsed="false">
      <c r="A19" s="112" t="n">
        <f aca="false">IF($A18="","",IF($A18+1&gt;Painel!$C$8,"",$A18+1))</f>
        <v>46519</v>
      </c>
      <c r="B19" s="113" t="n">
        <f aca="false">IF($A19="","",SUMIFS(Gastos!$J$7:$J$180,Gastos!$A$7:$A$180,$A19))</f>
        <v>0</v>
      </c>
      <c r="C19" s="114" t="n">
        <f aca="false">IF($A19="","",SUM($B$7:$B19))</f>
        <v>0</v>
      </c>
      <c r="D19" s="114" t="n">
        <f aca="false">IF($A19="","",SUMIFS(Gastos!$J$7:$J$180,Gastos!$A$7:$A$180,$A19,Gastos!$B$7:$B$180,D$6))</f>
        <v>0</v>
      </c>
      <c r="E19" s="114" t="n">
        <f aca="false">IF($A19="","",SUMIFS(Gastos!$J$7:$J$180,Gastos!$A$7:$A$180,$A19,Gastos!$B$7:$B$180,E$6))</f>
        <v>0</v>
      </c>
      <c r="F19" s="114" t="n">
        <f aca="false">IF($A19="","",SUMIFS(Gastos!$J$7:$J$180,Gastos!$A$7:$A$180,$A19,Gastos!$B$7:$B$180,F$6))</f>
        <v>0</v>
      </c>
      <c r="G19" s="114" t="n">
        <f aca="false">IF($A19="","",SUMIFS(Gastos!$J$7:$J$180,Gastos!$A$7:$A$180,$A19,Gastos!$B$7:$B$180,G$6))</f>
        <v>0</v>
      </c>
      <c r="H19" s="114" t="n">
        <f aca="false">IF($A19="","",$B19-SUM($D19:$G19))</f>
        <v>0</v>
      </c>
      <c r="I19" s="115" t="n">
        <f aca="false">IF($A19="","",COUNTIFS(Gastos!$A$7:$A$180,$A19))</f>
        <v>0</v>
      </c>
    </row>
    <row r="20" customFormat="false" ht="18" hidden="false" customHeight="true" outlineLevel="0" collapsed="false">
      <c r="A20" s="116" t="n">
        <f aca="false">IF($A19="","",IF($A19+1&gt;Painel!$C$8,"",$A19+1))</f>
        <v>46520</v>
      </c>
      <c r="B20" s="117" t="n">
        <f aca="false">IF($A20="","",SUMIFS(Gastos!$J$7:$J$180,Gastos!$A$7:$A$180,$A20))</f>
        <v>0</v>
      </c>
      <c r="C20" s="118" t="n">
        <f aca="false">IF($A20="","",SUM($B$7:$B20))</f>
        <v>0</v>
      </c>
      <c r="D20" s="118" t="n">
        <f aca="false">IF($A20="","",SUMIFS(Gastos!$J$7:$J$180,Gastos!$A$7:$A$180,$A20,Gastos!$B$7:$B$180,D$6))</f>
        <v>0</v>
      </c>
      <c r="E20" s="118" t="n">
        <f aca="false">IF($A20="","",SUMIFS(Gastos!$J$7:$J$180,Gastos!$A$7:$A$180,$A20,Gastos!$B$7:$B$180,E$6))</f>
        <v>0</v>
      </c>
      <c r="F20" s="118" t="n">
        <f aca="false">IF($A20="","",SUMIFS(Gastos!$J$7:$J$180,Gastos!$A$7:$A$180,$A20,Gastos!$B$7:$B$180,F$6))</f>
        <v>0</v>
      </c>
      <c r="G20" s="118" t="n">
        <f aca="false">IF($A20="","",SUMIFS(Gastos!$J$7:$J$180,Gastos!$A$7:$A$180,$A20,Gastos!$B$7:$B$180,G$6))</f>
        <v>0</v>
      </c>
      <c r="H20" s="118" t="n">
        <f aca="false">IF($A20="","",$B20-SUM($D20:$G20))</f>
        <v>0</v>
      </c>
      <c r="I20" s="119" t="n">
        <f aca="false">IF($A20="","",COUNTIFS(Gastos!$A$7:$A$180,$A20))</f>
        <v>0</v>
      </c>
    </row>
    <row r="21" customFormat="false" ht="18" hidden="false" customHeight="true" outlineLevel="0" collapsed="false">
      <c r="A21" s="112" t="n">
        <f aca="false">IF($A20="","",IF($A20+1&gt;Painel!$C$8,"",$A20+1))</f>
        <v>46521</v>
      </c>
      <c r="B21" s="113" t="n">
        <f aca="false">IF($A21="","",SUMIFS(Gastos!$J$7:$J$180,Gastos!$A$7:$A$180,$A21))</f>
        <v>0</v>
      </c>
      <c r="C21" s="114" t="n">
        <f aca="false">IF($A21="","",SUM($B$7:$B21))</f>
        <v>0</v>
      </c>
      <c r="D21" s="114" t="n">
        <f aca="false">IF($A21="","",SUMIFS(Gastos!$J$7:$J$180,Gastos!$A$7:$A$180,$A21,Gastos!$B$7:$B$180,D$6))</f>
        <v>0</v>
      </c>
      <c r="E21" s="114" t="n">
        <f aca="false">IF($A21="","",SUMIFS(Gastos!$J$7:$J$180,Gastos!$A$7:$A$180,$A21,Gastos!$B$7:$B$180,E$6))</f>
        <v>0</v>
      </c>
      <c r="F21" s="114" t="n">
        <f aca="false">IF($A21="","",SUMIFS(Gastos!$J$7:$J$180,Gastos!$A$7:$A$180,$A21,Gastos!$B$7:$B$180,F$6))</f>
        <v>0</v>
      </c>
      <c r="G21" s="114" t="n">
        <f aca="false">IF($A21="","",SUMIFS(Gastos!$J$7:$J$180,Gastos!$A$7:$A$180,$A21,Gastos!$B$7:$B$180,G$6))</f>
        <v>0</v>
      </c>
      <c r="H21" s="114" t="n">
        <f aca="false">IF($A21="","",$B21-SUM($D21:$G21))</f>
        <v>0</v>
      </c>
      <c r="I21" s="115" t="n">
        <f aca="false">IF($A21="","",COUNTIFS(Gastos!$A$7:$A$180,$A21))</f>
        <v>0</v>
      </c>
    </row>
    <row r="22" customFormat="false" ht="18" hidden="false" customHeight="true" outlineLevel="0" collapsed="false">
      <c r="A22" s="116" t="n">
        <f aca="false">IF($A21="","",IF($A21+1&gt;Painel!$C$8,"",$A21+1))</f>
        <v>46522</v>
      </c>
      <c r="B22" s="117" t="n">
        <f aca="false">IF($A22="","",SUMIFS(Gastos!$J$7:$J$180,Gastos!$A$7:$A$180,$A22))</f>
        <v>0</v>
      </c>
      <c r="C22" s="118" t="n">
        <f aca="false">IF($A22="","",SUM($B$7:$B22))</f>
        <v>0</v>
      </c>
      <c r="D22" s="118" t="n">
        <f aca="false">IF($A22="","",SUMIFS(Gastos!$J$7:$J$180,Gastos!$A$7:$A$180,$A22,Gastos!$B$7:$B$180,D$6))</f>
        <v>0</v>
      </c>
      <c r="E22" s="118" t="n">
        <f aca="false">IF($A22="","",SUMIFS(Gastos!$J$7:$J$180,Gastos!$A$7:$A$180,$A22,Gastos!$B$7:$B$180,E$6))</f>
        <v>0</v>
      </c>
      <c r="F22" s="118" t="n">
        <f aca="false">IF($A22="","",SUMIFS(Gastos!$J$7:$J$180,Gastos!$A$7:$A$180,$A22,Gastos!$B$7:$B$180,F$6))</f>
        <v>0</v>
      </c>
      <c r="G22" s="118" t="n">
        <f aca="false">IF($A22="","",SUMIFS(Gastos!$J$7:$J$180,Gastos!$A$7:$A$180,$A22,Gastos!$B$7:$B$180,G$6))</f>
        <v>0</v>
      </c>
      <c r="H22" s="118" t="n">
        <f aca="false">IF($A22="","",$B22-SUM($D22:$G22))</f>
        <v>0</v>
      </c>
      <c r="I22" s="119" t="n">
        <f aca="false">IF($A22="","",COUNTIFS(Gastos!$A$7:$A$180,$A22))</f>
        <v>0</v>
      </c>
    </row>
    <row r="23" customFormat="false" ht="18" hidden="false" customHeight="true" outlineLevel="0" collapsed="false">
      <c r="A23" s="112" t="n">
        <f aca="false">IF($A22="","",IF($A22+1&gt;Painel!$C$8,"",$A22+1))</f>
        <v>46523</v>
      </c>
      <c r="B23" s="113" t="n">
        <f aca="false">IF($A23="","",SUMIFS(Gastos!$J$7:$J$180,Gastos!$A$7:$A$180,$A23))</f>
        <v>0</v>
      </c>
      <c r="C23" s="114" t="n">
        <f aca="false">IF($A23="","",SUM($B$7:$B23))</f>
        <v>0</v>
      </c>
      <c r="D23" s="114" t="n">
        <f aca="false">IF($A23="","",SUMIFS(Gastos!$J$7:$J$180,Gastos!$A$7:$A$180,$A23,Gastos!$B$7:$B$180,D$6))</f>
        <v>0</v>
      </c>
      <c r="E23" s="114" t="n">
        <f aca="false">IF($A23="","",SUMIFS(Gastos!$J$7:$J$180,Gastos!$A$7:$A$180,$A23,Gastos!$B$7:$B$180,E$6))</f>
        <v>0</v>
      </c>
      <c r="F23" s="114" t="n">
        <f aca="false">IF($A23="","",SUMIFS(Gastos!$J$7:$J$180,Gastos!$A$7:$A$180,$A23,Gastos!$B$7:$B$180,F$6))</f>
        <v>0</v>
      </c>
      <c r="G23" s="114" t="n">
        <f aca="false">IF($A23="","",SUMIFS(Gastos!$J$7:$J$180,Gastos!$A$7:$A$180,$A23,Gastos!$B$7:$B$180,G$6))</f>
        <v>0</v>
      </c>
      <c r="H23" s="114" t="n">
        <f aca="false">IF($A23="","",$B23-SUM($D23:$G23))</f>
        <v>0</v>
      </c>
      <c r="I23" s="115" t="n">
        <f aca="false">IF($A23="","",COUNTIFS(Gastos!$A$7:$A$180,$A23))</f>
        <v>0</v>
      </c>
    </row>
    <row r="24" customFormat="false" ht="18" hidden="false" customHeight="true" outlineLevel="0" collapsed="false">
      <c r="A24" s="116" t="str">
        <f aca="false">IF($A23="","",IF($A23+1&gt;Painel!$C$8,"",$A23+1))</f>
        <v/>
      </c>
      <c r="B24" s="117" t="str">
        <f aca="false">IF($A24="","",SUMIFS(Gastos!$J$7:$J$180,Gastos!$A$7:$A$180,$A24))</f>
        <v/>
      </c>
      <c r="C24" s="118" t="str">
        <f aca="false">IF($A24="","",SUM($B$7:$B24))</f>
        <v/>
      </c>
      <c r="D24" s="118" t="str">
        <f aca="false">IF($A24="","",SUMIFS(Gastos!$J$7:$J$180,Gastos!$A$7:$A$180,$A24,Gastos!$B$7:$B$180,D$6))</f>
        <v/>
      </c>
      <c r="E24" s="118" t="str">
        <f aca="false">IF($A24="","",SUMIFS(Gastos!$J$7:$J$180,Gastos!$A$7:$A$180,$A24,Gastos!$B$7:$B$180,E$6))</f>
        <v/>
      </c>
      <c r="F24" s="118" t="str">
        <f aca="false">IF($A24="","",SUMIFS(Gastos!$J$7:$J$180,Gastos!$A$7:$A$180,$A24,Gastos!$B$7:$B$180,F$6))</f>
        <v/>
      </c>
      <c r="G24" s="118" t="str">
        <f aca="false">IF($A24="","",SUMIFS(Gastos!$J$7:$J$180,Gastos!$A$7:$A$180,$A24,Gastos!$B$7:$B$180,G$6))</f>
        <v/>
      </c>
      <c r="H24" s="118" t="str">
        <f aca="false">IF($A24="","",$B24-SUM($D24:$G24))</f>
        <v/>
      </c>
      <c r="I24" s="119" t="str">
        <f aca="false">IF($A24="","",COUNTIFS(Gastos!$A$7:$A$180,$A24))</f>
        <v/>
      </c>
    </row>
    <row r="25" customFormat="false" ht="18" hidden="false" customHeight="true" outlineLevel="0" collapsed="false">
      <c r="A25" s="112" t="str">
        <f aca="false">IF($A24="","",IF($A24+1&gt;Painel!$C$8,"",$A24+1))</f>
        <v/>
      </c>
      <c r="B25" s="113" t="str">
        <f aca="false">IF($A25="","",SUMIFS(Gastos!$J$7:$J$180,Gastos!$A$7:$A$180,$A25))</f>
        <v/>
      </c>
      <c r="C25" s="114" t="str">
        <f aca="false">IF($A25="","",SUM($B$7:$B25))</f>
        <v/>
      </c>
      <c r="D25" s="114" t="str">
        <f aca="false">IF($A25="","",SUMIFS(Gastos!$J$7:$J$180,Gastos!$A$7:$A$180,$A25,Gastos!$B$7:$B$180,D$6))</f>
        <v/>
      </c>
      <c r="E25" s="114" t="str">
        <f aca="false">IF($A25="","",SUMIFS(Gastos!$J$7:$J$180,Gastos!$A$7:$A$180,$A25,Gastos!$B$7:$B$180,E$6))</f>
        <v/>
      </c>
      <c r="F25" s="114" t="str">
        <f aca="false">IF($A25="","",SUMIFS(Gastos!$J$7:$J$180,Gastos!$A$7:$A$180,$A25,Gastos!$B$7:$B$180,F$6))</f>
        <v/>
      </c>
      <c r="G25" s="114" t="str">
        <f aca="false">IF($A25="","",SUMIFS(Gastos!$J$7:$J$180,Gastos!$A$7:$A$180,$A25,Gastos!$B$7:$B$180,G$6))</f>
        <v/>
      </c>
      <c r="H25" s="114" t="str">
        <f aca="false">IF($A25="","",$B25-SUM($D25:$G25))</f>
        <v/>
      </c>
      <c r="I25" s="115" t="str">
        <f aca="false">IF($A25="","",COUNTIFS(Gastos!$A$7:$A$180,$A25))</f>
        <v/>
      </c>
    </row>
    <row r="26" customFormat="false" ht="18" hidden="false" customHeight="true" outlineLevel="0" collapsed="false">
      <c r="A26" s="116" t="str">
        <f aca="false">IF($A25="","",IF($A25+1&gt;Painel!$C$8,"",$A25+1))</f>
        <v/>
      </c>
      <c r="B26" s="117" t="str">
        <f aca="false">IF($A26="","",SUMIFS(Gastos!$J$7:$J$180,Gastos!$A$7:$A$180,$A26))</f>
        <v/>
      </c>
      <c r="C26" s="118" t="str">
        <f aca="false">IF($A26="","",SUM($B$7:$B26))</f>
        <v/>
      </c>
      <c r="D26" s="118" t="str">
        <f aca="false">IF($A26="","",SUMIFS(Gastos!$J$7:$J$180,Gastos!$A$7:$A$180,$A26,Gastos!$B$7:$B$180,D$6))</f>
        <v/>
      </c>
      <c r="E26" s="118" t="str">
        <f aca="false">IF($A26="","",SUMIFS(Gastos!$J$7:$J$180,Gastos!$A$7:$A$180,$A26,Gastos!$B$7:$B$180,E$6))</f>
        <v/>
      </c>
      <c r="F26" s="118" t="str">
        <f aca="false">IF($A26="","",SUMIFS(Gastos!$J$7:$J$180,Gastos!$A$7:$A$180,$A26,Gastos!$B$7:$B$180,F$6))</f>
        <v/>
      </c>
      <c r="G26" s="118" t="str">
        <f aca="false">IF($A26="","",SUMIFS(Gastos!$J$7:$J$180,Gastos!$A$7:$A$180,$A26,Gastos!$B$7:$B$180,G$6))</f>
        <v/>
      </c>
      <c r="H26" s="118" t="str">
        <f aca="false">IF($A26="","",$B26-SUM($D26:$G26))</f>
        <v/>
      </c>
      <c r="I26" s="119" t="str">
        <f aca="false">IF($A26="","",COUNTIFS(Gastos!$A$7:$A$180,$A26))</f>
        <v/>
      </c>
    </row>
    <row r="27" customFormat="false" ht="18" hidden="false" customHeight="true" outlineLevel="0" collapsed="false">
      <c r="A27" s="112" t="str">
        <f aca="false">IF($A26="","",IF($A26+1&gt;Painel!$C$8,"",$A26+1))</f>
        <v/>
      </c>
      <c r="B27" s="113" t="str">
        <f aca="false">IF($A27="","",SUMIFS(Gastos!$J$7:$J$180,Gastos!$A$7:$A$180,$A27))</f>
        <v/>
      </c>
      <c r="C27" s="114" t="str">
        <f aca="false">IF($A27="","",SUM($B$7:$B27))</f>
        <v/>
      </c>
      <c r="D27" s="114" t="str">
        <f aca="false">IF($A27="","",SUMIFS(Gastos!$J$7:$J$180,Gastos!$A$7:$A$180,$A27,Gastos!$B$7:$B$180,D$6))</f>
        <v/>
      </c>
      <c r="E27" s="114" t="str">
        <f aca="false">IF($A27="","",SUMIFS(Gastos!$J$7:$J$180,Gastos!$A$7:$A$180,$A27,Gastos!$B$7:$B$180,E$6))</f>
        <v/>
      </c>
      <c r="F27" s="114" t="str">
        <f aca="false">IF($A27="","",SUMIFS(Gastos!$J$7:$J$180,Gastos!$A$7:$A$180,$A27,Gastos!$B$7:$B$180,F$6))</f>
        <v/>
      </c>
      <c r="G27" s="114" t="str">
        <f aca="false">IF($A27="","",SUMIFS(Gastos!$J$7:$J$180,Gastos!$A$7:$A$180,$A27,Gastos!$B$7:$B$180,G$6))</f>
        <v/>
      </c>
      <c r="H27" s="114" t="str">
        <f aca="false">IF($A27="","",$B27-SUM($D27:$G27))</f>
        <v/>
      </c>
      <c r="I27" s="115" t="str">
        <f aca="false">IF($A27="","",COUNTIFS(Gastos!$A$7:$A$180,$A27))</f>
        <v/>
      </c>
    </row>
    <row r="28" customFormat="false" ht="18" hidden="false" customHeight="true" outlineLevel="0" collapsed="false">
      <c r="A28" s="116" t="str">
        <f aca="false">IF($A27="","",IF($A27+1&gt;Painel!$C$8,"",$A27+1))</f>
        <v/>
      </c>
      <c r="B28" s="117" t="str">
        <f aca="false">IF($A28="","",SUMIFS(Gastos!$J$7:$J$180,Gastos!$A$7:$A$180,$A28))</f>
        <v/>
      </c>
      <c r="C28" s="118" t="str">
        <f aca="false">IF($A28="","",SUM($B$7:$B28))</f>
        <v/>
      </c>
      <c r="D28" s="118" t="str">
        <f aca="false">IF($A28="","",SUMIFS(Gastos!$J$7:$J$180,Gastos!$A$7:$A$180,$A28,Gastos!$B$7:$B$180,D$6))</f>
        <v/>
      </c>
      <c r="E28" s="118" t="str">
        <f aca="false">IF($A28="","",SUMIFS(Gastos!$J$7:$J$180,Gastos!$A$7:$A$180,$A28,Gastos!$B$7:$B$180,E$6))</f>
        <v/>
      </c>
      <c r="F28" s="118" t="str">
        <f aca="false">IF($A28="","",SUMIFS(Gastos!$J$7:$J$180,Gastos!$A$7:$A$180,$A28,Gastos!$B$7:$B$180,F$6))</f>
        <v/>
      </c>
      <c r="G28" s="118" t="str">
        <f aca="false">IF($A28="","",SUMIFS(Gastos!$J$7:$J$180,Gastos!$A$7:$A$180,$A28,Gastos!$B$7:$B$180,G$6))</f>
        <v/>
      </c>
      <c r="H28" s="118" t="str">
        <f aca="false">IF($A28="","",$B28-SUM($D28:$G28))</f>
        <v/>
      </c>
      <c r="I28" s="119" t="str">
        <f aca="false">IF($A28="","",COUNTIFS(Gastos!$A$7:$A$180,$A28))</f>
        <v/>
      </c>
    </row>
    <row r="29" customFormat="false" ht="18" hidden="false" customHeight="true" outlineLevel="0" collapsed="false">
      <c r="A29" s="112" t="str">
        <f aca="false">IF($A28="","",IF($A28+1&gt;Painel!$C$8,"",$A28+1))</f>
        <v/>
      </c>
      <c r="B29" s="113" t="str">
        <f aca="false">IF($A29="","",SUMIFS(Gastos!$J$7:$J$180,Gastos!$A$7:$A$180,$A29))</f>
        <v/>
      </c>
      <c r="C29" s="114" t="str">
        <f aca="false">IF($A29="","",SUM($B$7:$B29))</f>
        <v/>
      </c>
      <c r="D29" s="114" t="str">
        <f aca="false">IF($A29="","",SUMIFS(Gastos!$J$7:$J$180,Gastos!$A$7:$A$180,$A29,Gastos!$B$7:$B$180,D$6))</f>
        <v/>
      </c>
      <c r="E29" s="114" t="str">
        <f aca="false">IF($A29="","",SUMIFS(Gastos!$J$7:$J$180,Gastos!$A$7:$A$180,$A29,Gastos!$B$7:$B$180,E$6))</f>
        <v/>
      </c>
      <c r="F29" s="114" t="str">
        <f aca="false">IF($A29="","",SUMIFS(Gastos!$J$7:$J$180,Gastos!$A$7:$A$180,$A29,Gastos!$B$7:$B$180,F$6))</f>
        <v/>
      </c>
      <c r="G29" s="114" t="str">
        <f aca="false">IF($A29="","",SUMIFS(Gastos!$J$7:$J$180,Gastos!$A$7:$A$180,$A29,Gastos!$B$7:$B$180,G$6))</f>
        <v/>
      </c>
      <c r="H29" s="114" t="str">
        <f aca="false">IF($A29="","",$B29-SUM($D29:$G29))</f>
        <v/>
      </c>
      <c r="I29" s="115" t="str">
        <f aca="false">IF($A29="","",COUNTIFS(Gastos!$A$7:$A$180,$A29))</f>
        <v/>
      </c>
    </row>
    <row r="30" customFormat="false" ht="18" hidden="false" customHeight="true" outlineLevel="0" collapsed="false">
      <c r="A30" s="116" t="str">
        <f aca="false">IF($A29="","",IF($A29+1&gt;Painel!$C$8,"",$A29+1))</f>
        <v/>
      </c>
      <c r="B30" s="117" t="str">
        <f aca="false">IF($A30="","",SUMIFS(Gastos!$J$7:$J$180,Gastos!$A$7:$A$180,$A30))</f>
        <v/>
      </c>
      <c r="C30" s="118" t="str">
        <f aca="false">IF($A30="","",SUM($B$7:$B30))</f>
        <v/>
      </c>
      <c r="D30" s="118" t="str">
        <f aca="false">IF($A30="","",SUMIFS(Gastos!$J$7:$J$180,Gastos!$A$7:$A$180,$A30,Gastos!$B$7:$B$180,D$6))</f>
        <v/>
      </c>
      <c r="E30" s="118" t="str">
        <f aca="false">IF($A30="","",SUMIFS(Gastos!$J$7:$J$180,Gastos!$A$7:$A$180,$A30,Gastos!$B$7:$B$180,E$6))</f>
        <v/>
      </c>
      <c r="F30" s="118" t="str">
        <f aca="false">IF($A30="","",SUMIFS(Gastos!$J$7:$J$180,Gastos!$A$7:$A$180,$A30,Gastos!$B$7:$B$180,F$6))</f>
        <v/>
      </c>
      <c r="G30" s="118" t="str">
        <f aca="false">IF($A30="","",SUMIFS(Gastos!$J$7:$J$180,Gastos!$A$7:$A$180,$A30,Gastos!$B$7:$B$180,G$6))</f>
        <v/>
      </c>
      <c r="H30" s="118" t="str">
        <f aca="false">IF($A30="","",$B30-SUM($D30:$G30))</f>
        <v/>
      </c>
      <c r="I30" s="119" t="str">
        <f aca="false">IF($A30="","",COUNTIFS(Gastos!$A$7:$A$180,$A30))</f>
        <v/>
      </c>
    </row>
    <row r="31" customFormat="false" ht="18" hidden="false" customHeight="true" outlineLevel="0" collapsed="false">
      <c r="A31" s="112" t="str">
        <f aca="false">IF($A30="","",IF($A30+1&gt;Painel!$C$8,"",$A30+1))</f>
        <v/>
      </c>
      <c r="B31" s="113" t="str">
        <f aca="false">IF($A31="","",SUMIFS(Gastos!$J$7:$J$180,Gastos!$A$7:$A$180,$A31))</f>
        <v/>
      </c>
      <c r="C31" s="114" t="str">
        <f aca="false">IF($A31="","",SUM($B$7:$B31))</f>
        <v/>
      </c>
      <c r="D31" s="114" t="str">
        <f aca="false">IF($A31="","",SUMIFS(Gastos!$J$7:$J$180,Gastos!$A$7:$A$180,$A31,Gastos!$B$7:$B$180,D$6))</f>
        <v/>
      </c>
      <c r="E31" s="114" t="str">
        <f aca="false">IF($A31="","",SUMIFS(Gastos!$J$7:$J$180,Gastos!$A$7:$A$180,$A31,Gastos!$B$7:$B$180,E$6))</f>
        <v/>
      </c>
      <c r="F31" s="114" t="str">
        <f aca="false">IF($A31="","",SUMIFS(Gastos!$J$7:$J$180,Gastos!$A$7:$A$180,$A31,Gastos!$B$7:$B$180,F$6))</f>
        <v/>
      </c>
      <c r="G31" s="114" t="str">
        <f aca="false">IF($A31="","",SUMIFS(Gastos!$J$7:$J$180,Gastos!$A$7:$A$180,$A31,Gastos!$B$7:$B$180,G$6))</f>
        <v/>
      </c>
      <c r="H31" s="114" t="str">
        <f aca="false">IF($A31="","",$B31-SUM($D31:$G31))</f>
        <v/>
      </c>
      <c r="I31" s="115" t="str">
        <f aca="false">IF($A31="","",COUNTIFS(Gastos!$A$7:$A$180,$A31))</f>
        <v/>
      </c>
    </row>
    <row r="32" customFormat="false" ht="18" hidden="false" customHeight="true" outlineLevel="0" collapsed="false">
      <c r="A32" s="116" t="str">
        <f aca="false">IF($A31="","",IF($A31+1&gt;Painel!$C$8,"",$A31+1))</f>
        <v/>
      </c>
      <c r="B32" s="117" t="str">
        <f aca="false">IF($A32="","",SUMIFS(Gastos!$J$7:$J$180,Gastos!$A$7:$A$180,$A32))</f>
        <v/>
      </c>
      <c r="C32" s="118" t="str">
        <f aca="false">IF($A32="","",SUM($B$7:$B32))</f>
        <v/>
      </c>
      <c r="D32" s="118" t="str">
        <f aca="false">IF($A32="","",SUMIFS(Gastos!$J$7:$J$180,Gastos!$A$7:$A$180,$A32,Gastos!$B$7:$B$180,D$6))</f>
        <v/>
      </c>
      <c r="E32" s="118" t="str">
        <f aca="false">IF($A32="","",SUMIFS(Gastos!$J$7:$J$180,Gastos!$A$7:$A$180,$A32,Gastos!$B$7:$B$180,E$6))</f>
        <v/>
      </c>
      <c r="F32" s="118" t="str">
        <f aca="false">IF($A32="","",SUMIFS(Gastos!$J$7:$J$180,Gastos!$A$7:$A$180,$A32,Gastos!$B$7:$B$180,F$6))</f>
        <v/>
      </c>
      <c r="G32" s="118" t="str">
        <f aca="false">IF($A32="","",SUMIFS(Gastos!$J$7:$J$180,Gastos!$A$7:$A$180,$A32,Gastos!$B$7:$B$180,G$6))</f>
        <v/>
      </c>
      <c r="H32" s="118" t="str">
        <f aca="false">IF($A32="","",$B32-SUM($D32:$G32))</f>
        <v/>
      </c>
      <c r="I32" s="119" t="str">
        <f aca="false">IF($A32="","",COUNTIFS(Gastos!$A$7:$A$180,$A32))</f>
        <v/>
      </c>
    </row>
    <row r="33" customFormat="false" ht="18" hidden="false" customHeight="true" outlineLevel="0" collapsed="false">
      <c r="A33" s="112" t="str">
        <f aca="false">IF($A32="","",IF($A32+1&gt;Painel!$C$8,"",$A32+1))</f>
        <v/>
      </c>
      <c r="B33" s="113" t="str">
        <f aca="false">IF($A33="","",SUMIFS(Gastos!$J$7:$J$180,Gastos!$A$7:$A$180,$A33))</f>
        <v/>
      </c>
      <c r="C33" s="114" t="str">
        <f aca="false">IF($A33="","",SUM($B$7:$B33))</f>
        <v/>
      </c>
      <c r="D33" s="114" t="str">
        <f aca="false">IF($A33="","",SUMIFS(Gastos!$J$7:$J$180,Gastos!$A$7:$A$180,$A33,Gastos!$B$7:$B$180,D$6))</f>
        <v/>
      </c>
      <c r="E33" s="114" t="str">
        <f aca="false">IF($A33="","",SUMIFS(Gastos!$J$7:$J$180,Gastos!$A$7:$A$180,$A33,Gastos!$B$7:$B$180,E$6))</f>
        <v/>
      </c>
      <c r="F33" s="114" t="str">
        <f aca="false">IF($A33="","",SUMIFS(Gastos!$J$7:$J$180,Gastos!$A$7:$A$180,$A33,Gastos!$B$7:$B$180,F$6))</f>
        <v/>
      </c>
      <c r="G33" s="114" t="str">
        <f aca="false">IF($A33="","",SUMIFS(Gastos!$J$7:$J$180,Gastos!$A$7:$A$180,$A33,Gastos!$B$7:$B$180,G$6))</f>
        <v/>
      </c>
      <c r="H33" s="114" t="str">
        <f aca="false">IF($A33="","",$B33-SUM($D33:$G33))</f>
        <v/>
      </c>
      <c r="I33" s="115" t="str">
        <f aca="false">IF($A33="","",COUNTIFS(Gastos!$A$7:$A$180,$A33))</f>
        <v/>
      </c>
    </row>
    <row r="34" customFormat="false" ht="18" hidden="false" customHeight="true" outlineLevel="0" collapsed="false">
      <c r="A34" s="116" t="str">
        <f aca="false">IF($A33="","",IF($A33+1&gt;Painel!$C$8,"",$A33+1))</f>
        <v/>
      </c>
      <c r="B34" s="117" t="str">
        <f aca="false">IF($A34="","",SUMIFS(Gastos!$J$7:$J$180,Gastos!$A$7:$A$180,$A34))</f>
        <v/>
      </c>
      <c r="C34" s="118" t="str">
        <f aca="false">IF($A34="","",SUM($B$7:$B34))</f>
        <v/>
      </c>
      <c r="D34" s="118" t="str">
        <f aca="false">IF($A34="","",SUMIFS(Gastos!$J$7:$J$180,Gastos!$A$7:$A$180,$A34,Gastos!$B$7:$B$180,D$6))</f>
        <v/>
      </c>
      <c r="E34" s="118" t="str">
        <f aca="false">IF($A34="","",SUMIFS(Gastos!$J$7:$J$180,Gastos!$A$7:$A$180,$A34,Gastos!$B$7:$B$180,E$6))</f>
        <v/>
      </c>
      <c r="F34" s="118" t="str">
        <f aca="false">IF($A34="","",SUMIFS(Gastos!$J$7:$J$180,Gastos!$A$7:$A$180,$A34,Gastos!$B$7:$B$180,F$6))</f>
        <v/>
      </c>
      <c r="G34" s="118" t="str">
        <f aca="false">IF($A34="","",SUMIFS(Gastos!$J$7:$J$180,Gastos!$A$7:$A$180,$A34,Gastos!$B$7:$B$180,G$6))</f>
        <v/>
      </c>
      <c r="H34" s="118" t="str">
        <f aca="false">IF($A34="","",$B34-SUM($D34:$G34))</f>
        <v/>
      </c>
      <c r="I34" s="119" t="str">
        <f aca="false">IF($A34="","",COUNTIFS(Gastos!$A$7:$A$180,$A34))</f>
        <v/>
      </c>
    </row>
    <row r="35" customFormat="false" ht="18" hidden="false" customHeight="true" outlineLevel="0" collapsed="false">
      <c r="A35" s="112" t="str">
        <f aca="false">IF($A34="","",IF($A34+1&gt;Painel!$C$8,"",$A34+1))</f>
        <v/>
      </c>
      <c r="B35" s="113" t="str">
        <f aca="false">IF($A35="","",SUMIFS(Gastos!$J$7:$J$180,Gastos!$A$7:$A$180,$A35))</f>
        <v/>
      </c>
      <c r="C35" s="114" t="str">
        <f aca="false">IF($A35="","",SUM($B$7:$B35))</f>
        <v/>
      </c>
      <c r="D35" s="114" t="str">
        <f aca="false">IF($A35="","",SUMIFS(Gastos!$J$7:$J$180,Gastos!$A$7:$A$180,$A35,Gastos!$B$7:$B$180,D$6))</f>
        <v/>
      </c>
      <c r="E35" s="114" t="str">
        <f aca="false">IF($A35="","",SUMIFS(Gastos!$J$7:$J$180,Gastos!$A$7:$A$180,$A35,Gastos!$B$7:$B$180,E$6))</f>
        <v/>
      </c>
      <c r="F35" s="114" t="str">
        <f aca="false">IF($A35="","",SUMIFS(Gastos!$J$7:$J$180,Gastos!$A$7:$A$180,$A35,Gastos!$B$7:$B$180,F$6))</f>
        <v/>
      </c>
      <c r="G35" s="114" t="str">
        <f aca="false">IF($A35="","",SUMIFS(Gastos!$J$7:$J$180,Gastos!$A$7:$A$180,$A35,Gastos!$B$7:$B$180,G$6))</f>
        <v/>
      </c>
      <c r="H35" s="114" t="str">
        <f aca="false">IF($A35="","",$B35-SUM($D35:$G35))</f>
        <v/>
      </c>
      <c r="I35" s="115" t="str">
        <f aca="false">IF($A35="","",COUNTIFS(Gastos!$A$7:$A$180,$A35))</f>
        <v/>
      </c>
    </row>
    <row r="36" customFormat="false" ht="18" hidden="false" customHeight="true" outlineLevel="0" collapsed="false">
      <c r="A36" s="116" t="str">
        <f aca="false">IF($A35="","",IF($A35+1&gt;Painel!$C$8,"",$A35+1))</f>
        <v/>
      </c>
      <c r="B36" s="117" t="str">
        <f aca="false">IF($A36="","",SUMIFS(Gastos!$J$7:$J$180,Gastos!$A$7:$A$180,$A36))</f>
        <v/>
      </c>
      <c r="C36" s="118" t="str">
        <f aca="false">IF($A36="","",SUM($B$7:$B36))</f>
        <v/>
      </c>
      <c r="D36" s="118" t="str">
        <f aca="false">IF($A36="","",SUMIFS(Gastos!$J$7:$J$180,Gastos!$A$7:$A$180,$A36,Gastos!$B$7:$B$180,D$6))</f>
        <v/>
      </c>
      <c r="E36" s="118" t="str">
        <f aca="false">IF($A36="","",SUMIFS(Gastos!$J$7:$J$180,Gastos!$A$7:$A$180,$A36,Gastos!$B$7:$B$180,E$6))</f>
        <v/>
      </c>
      <c r="F36" s="118" t="str">
        <f aca="false">IF($A36="","",SUMIFS(Gastos!$J$7:$J$180,Gastos!$A$7:$A$180,$A36,Gastos!$B$7:$B$180,F$6))</f>
        <v/>
      </c>
      <c r="G36" s="118" t="str">
        <f aca="false">IF($A36="","",SUMIFS(Gastos!$J$7:$J$180,Gastos!$A$7:$A$180,$A36,Gastos!$B$7:$B$180,G$6))</f>
        <v/>
      </c>
      <c r="H36" s="118" t="str">
        <f aca="false">IF($A36="","",$B36-SUM($D36:$G36))</f>
        <v/>
      </c>
      <c r="I36" s="119" t="str">
        <f aca="false">IF($A36="","",COUNTIFS(Gastos!$A$7:$A$180,$A36))</f>
        <v/>
      </c>
    </row>
    <row r="37" customFormat="false" ht="18" hidden="false" customHeight="true" outlineLevel="0" collapsed="false">
      <c r="A37" s="112" t="str">
        <f aca="false">IF($A36="","",IF($A36+1&gt;Painel!$C$8,"",$A36+1))</f>
        <v/>
      </c>
      <c r="B37" s="113" t="str">
        <f aca="false">IF($A37="","",SUMIFS(Gastos!$J$7:$J$180,Gastos!$A$7:$A$180,$A37))</f>
        <v/>
      </c>
      <c r="C37" s="114" t="str">
        <f aca="false">IF($A37="","",SUM($B$7:$B37))</f>
        <v/>
      </c>
      <c r="D37" s="114" t="str">
        <f aca="false">IF($A37="","",SUMIFS(Gastos!$J$7:$J$180,Gastos!$A$7:$A$180,$A37,Gastos!$B$7:$B$180,D$6))</f>
        <v/>
      </c>
      <c r="E37" s="114" t="str">
        <f aca="false">IF($A37="","",SUMIFS(Gastos!$J$7:$J$180,Gastos!$A$7:$A$180,$A37,Gastos!$B$7:$B$180,E$6))</f>
        <v/>
      </c>
      <c r="F37" s="114" t="str">
        <f aca="false">IF($A37="","",SUMIFS(Gastos!$J$7:$J$180,Gastos!$A$7:$A$180,$A37,Gastos!$B$7:$B$180,F$6))</f>
        <v/>
      </c>
      <c r="G37" s="114" t="str">
        <f aca="false">IF($A37="","",SUMIFS(Gastos!$J$7:$J$180,Gastos!$A$7:$A$180,$A37,Gastos!$B$7:$B$180,G$6))</f>
        <v/>
      </c>
      <c r="H37" s="114" t="str">
        <f aca="false">IF($A37="","",$B37-SUM($D37:$G37))</f>
        <v/>
      </c>
      <c r="I37" s="115" t="str">
        <f aca="false">IF($A37="","",COUNTIFS(Gastos!$A$7:$A$180,$A37))</f>
        <v/>
      </c>
    </row>
    <row r="38" customFormat="false" ht="18" hidden="false" customHeight="true" outlineLevel="0" collapsed="false">
      <c r="A38" s="116" t="str">
        <f aca="false">IF($A37="","",IF($A37+1&gt;Painel!$C$8,"",$A37+1))</f>
        <v/>
      </c>
      <c r="B38" s="117" t="str">
        <f aca="false">IF($A38="","",SUMIFS(Gastos!$J$7:$J$180,Gastos!$A$7:$A$180,$A38))</f>
        <v/>
      </c>
      <c r="C38" s="118" t="str">
        <f aca="false">IF($A38="","",SUM($B$7:$B38))</f>
        <v/>
      </c>
      <c r="D38" s="118" t="str">
        <f aca="false">IF($A38="","",SUMIFS(Gastos!$J$7:$J$180,Gastos!$A$7:$A$180,$A38,Gastos!$B$7:$B$180,D$6))</f>
        <v/>
      </c>
      <c r="E38" s="118" t="str">
        <f aca="false">IF($A38="","",SUMIFS(Gastos!$J$7:$J$180,Gastos!$A$7:$A$180,$A38,Gastos!$B$7:$B$180,E$6))</f>
        <v/>
      </c>
      <c r="F38" s="118" t="str">
        <f aca="false">IF($A38="","",SUMIFS(Gastos!$J$7:$J$180,Gastos!$A$7:$A$180,$A38,Gastos!$B$7:$B$180,F$6))</f>
        <v/>
      </c>
      <c r="G38" s="118" t="str">
        <f aca="false">IF($A38="","",SUMIFS(Gastos!$J$7:$J$180,Gastos!$A$7:$A$180,$A38,Gastos!$B$7:$B$180,G$6))</f>
        <v/>
      </c>
      <c r="H38" s="118" t="str">
        <f aca="false">IF($A38="","",$B38-SUM($D38:$G38))</f>
        <v/>
      </c>
      <c r="I38" s="119" t="str">
        <f aca="false">IF($A38="","",COUNTIFS(Gastos!$A$7:$A$180,$A38))</f>
        <v/>
      </c>
    </row>
    <row r="39" customFormat="false" ht="18" hidden="false" customHeight="true" outlineLevel="0" collapsed="false">
      <c r="A39" s="112" t="str">
        <f aca="false">IF($A38="","",IF($A38+1&gt;Painel!$C$8,"",$A38+1))</f>
        <v/>
      </c>
      <c r="B39" s="113" t="str">
        <f aca="false">IF($A39="","",SUMIFS(Gastos!$J$7:$J$180,Gastos!$A$7:$A$180,$A39))</f>
        <v/>
      </c>
      <c r="C39" s="114" t="str">
        <f aca="false">IF($A39="","",SUM($B$7:$B39))</f>
        <v/>
      </c>
      <c r="D39" s="114" t="str">
        <f aca="false">IF($A39="","",SUMIFS(Gastos!$J$7:$J$180,Gastos!$A$7:$A$180,$A39,Gastos!$B$7:$B$180,D$6))</f>
        <v/>
      </c>
      <c r="E39" s="114" t="str">
        <f aca="false">IF($A39="","",SUMIFS(Gastos!$J$7:$J$180,Gastos!$A$7:$A$180,$A39,Gastos!$B$7:$B$180,E$6))</f>
        <v/>
      </c>
      <c r="F39" s="114" t="str">
        <f aca="false">IF($A39="","",SUMIFS(Gastos!$J$7:$J$180,Gastos!$A$7:$A$180,$A39,Gastos!$B$7:$B$180,F$6))</f>
        <v/>
      </c>
      <c r="G39" s="114" t="str">
        <f aca="false">IF($A39="","",SUMIFS(Gastos!$J$7:$J$180,Gastos!$A$7:$A$180,$A39,Gastos!$B$7:$B$180,G$6))</f>
        <v/>
      </c>
      <c r="H39" s="114" t="str">
        <f aca="false">IF($A39="","",$B39-SUM($D39:$G39))</f>
        <v/>
      </c>
      <c r="I39" s="115" t="str">
        <f aca="false">IF($A39="","",COUNTIFS(Gastos!$A$7:$A$180,$A39))</f>
        <v/>
      </c>
    </row>
    <row r="40" customFormat="false" ht="18" hidden="false" customHeight="true" outlineLevel="0" collapsed="false">
      <c r="A40" s="116" t="str">
        <f aca="false">IF($A39="","",IF($A39+1&gt;Painel!$C$8,"",$A39+1))</f>
        <v/>
      </c>
      <c r="B40" s="117" t="str">
        <f aca="false">IF($A40="","",SUMIFS(Gastos!$J$7:$J$180,Gastos!$A$7:$A$180,$A40))</f>
        <v/>
      </c>
      <c r="C40" s="118" t="str">
        <f aca="false">IF($A40="","",SUM($B$7:$B40))</f>
        <v/>
      </c>
      <c r="D40" s="118" t="str">
        <f aca="false">IF($A40="","",SUMIFS(Gastos!$J$7:$J$180,Gastos!$A$7:$A$180,$A40,Gastos!$B$7:$B$180,D$6))</f>
        <v/>
      </c>
      <c r="E40" s="118" t="str">
        <f aca="false">IF($A40="","",SUMIFS(Gastos!$J$7:$J$180,Gastos!$A$7:$A$180,$A40,Gastos!$B$7:$B$180,E$6))</f>
        <v/>
      </c>
      <c r="F40" s="118" t="str">
        <f aca="false">IF($A40="","",SUMIFS(Gastos!$J$7:$J$180,Gastos!$A$7:$A$180,$A40,Gastos!$B$7:$B$180,F$6))</f>
        <v/>
      </c>
      <c r="G40" s="118" t="str">
        <f aca="false">IF($A40="","",SUMIFS(Gastos!$J$7:$J$180,Gastos!$A$7:$A$180,$A40,Gastos!$B$7:$B$180,G$6))</f>
        <v/>
      </c>
      <c r="H40" s="118" t="str">
        <f aca="false">IF($A40="","",$B40-SUM($D40:$G40))</f>
        <v/>
      </c>
      <c r="I40" s="119" t="str">
        <f aca="false">IF($A40="","",COUNTIFS(Gastos!$A$7:$A$180,$A40))</f>
        <v/>
      </c>
    </row>
    <row r="41" customFormat="false" ht="18" hidden="false" customHeight="true" outlineLevel="0" collapsed="false">
      <c r="A41" s="112" t="str">
        <f aca="false">IF($A40="","",IF($A40+1&gt;Painel!$C$8,"",$A40+1))</f>
        <v/>
      </c>
      <c r="B41" s="113" t="str">
        <f aca="false">IF($A41="","",SUMIFS(Gastos!$J$7:$J$180,Gastos!$A$7:$A$180,$A41))</f>
        <v/>
      </c>
      <c r="C41" s="114" t="str">
        <f aca="false">IF($A41="","",SUM($B$7:$B41))</f>
        <v/>
      </c>
      <c r="D41" s="114" t="str">
        <f aca="false">IF($A41="","",SUMIFS(Gastos!$J$7:$J$180,Gastos!$A$7:$A$180,$A41,Gastos!$B$7:$B$180,D$6))</f>
        <v/>
      </c>
      <c r="E41" s="114" t="str">
        <f aca="false">IF($A41="","",SUMIFS(Gastos!$J$7:$J$180,Gastos!$A$7:$A$180,$A41,Gastos!$B$7:$B$180,E$6))</f>
        <v/>
      </c>
      <c r="F41" s="114" t="str">
        <f aca="false">IF($A41="","",SUMIFS(Gastos!$J$7:$J$180,Gastos!$A$7:$A$180,$A41,Gastos!$B$7:$B$180,F$6))</f>
        <v/>
      </c>
      <c r="G41" s="114" t="str">
        <f aca="false">IF($A41="","",SUMIFS(Gastos!$J$7:$J$180,Gastos!$A$7:$A$180,$A41,Gastos!$B$7:$B$180,G$6))</f>
        <v/>
      </c>
      <c r="H41" s="114" t="str">
        <f aca="false">IF($A41="","",$B41-SUM($D41:$G41))</f>
        <v/>
      </c>
      <c r="I41" s="115" t="str">
        <f aca="false">IF($A41="","",COUNTIFS(Gastos!$A$7:$A$180,$A41))</f>
        <v/>
      </c>
    </row>
    <row r="42" customFormat="false" ht="18" hidden="false" customHeight="true" outlineLevel="0" collapsed="false">
      <c r="A42" s="116" t="str">
        <f aca="false">IF($A41="","",IF($A41+1&gt;Painel!$C$8,"",$A41+1))</f>
        <v/>
      </c>
      <c r="B42" s="117" t="str">
        <f aca="false">IF($A42="","",SUMIFS(Gastos!$J$7:$J$180,Gastos!$A$7:$A$180,$A42))</f>
        <v/>
      </c>
      <c r="C42" s="118" t="str">
        <f aca="false">IF($A42="","",SUM($B$7:$B42))</f>
        <v/>
      </c>
      <c r="D42" s="118" t="str">
        <f aca="false">IF($A42="","",SUMIFS(Gastos!$J$7:$J$180,Gastos!$A$7:$A$180,$A42,Gastos!$B$7:$B$180,D$6))</f>
        <v/>
      </c>
      <c r="E42" s="118" t="str">
        <f aca="false">IF($A42="","",SUMIFS(Gastos!$J$7:$J$180,Gastos!$A$7:$A$180,$A42,Gastos!$B$7:$B$180,E$6))</f>
        <v/>
      </c>
      <c r="F42" s="118" t="str">
        <f aca="false">IF($A42="","",SUMIFS(Gastos!$J$7:$J$180,Gastos!$A$7:$A$180,$A42,Gastos!$B$7:$B$180,F$6))</f>
        <v/>
      </c>
      <c r="G42" s="118" t="str">
        <f aca="false">IF($A42="","",SUMIFS(Gastos!$J$7:$J$180,Gastos!$A$7:$A$180,$A42,Gastos!$B$7:$B$180,G$6))</f>
        <v/>
      </c>
      <c r="H42" s="118" t="str">
        <f aca="false">IF($A42="","",$B42-SUM($D42:$G42))</f>
        <v/>
      </c>
      <c r="I42" s="119" t="str">
        <f aca="false">IF($A42="","",COUNTIFS(Gastos!$A$7:$A$180,$A42))</f>
        <v/>
      </c>
    </row>
    <row r="43" customFormat="false" ht="18" hidden="false" customHeight="true" outlineLevel="0" collapsed="false">
      <c r="A43" s="112" t="str">
        <f aca="false">IF($A42="","",IF($A42+1&gt;Painel!$C$8,"",$A42+1))</f>
        <v/>
      </c>
      <c r="B43" s="113" t="str">
        <f aca="false">IF($A43="","",SUMIFS(Gastos!$J$7:$J$180,Gastos!$A$7:$A$180,$A43))</f>
        <v/>
      </c>
      <c r="C43" s="114" t="str">
        <f aca="false">IF($A43="","",SUM($B$7:$B43))</f>
        <v/>
      </c>
      <c r="D43" s="114" t="str">
        <f aca="false">IF($A43="","",SUMIFS(Gastos!$J$7:$J$180,Gastos!$A$7:$A$180,$A43,Gastos!$B$7:$B$180,D$6))</f>
        <v/>
      </c>
      <c r="E43" s="114" t="str">
        <f aca="false">IF($A43="","",SUMIFS(Gastos!$J$7:$J$180,Gastos!$A$7:$A$180,$A43,Gastos!$B$7:$B$180,E$6))</f>
        <v/>
      </c>
      <c r="F43" s="114" t="str">
        <f aca="false">IF($A43="","",SUMIFS(Gastos!$J$7:$J$180,Gastos!$A$7:$A$180,$A43,Gastos!$B$7:$B$180,F$6))</f>
        <v/>
      </c>
      <c r="G43" s="114" t="str">
        <f aca="false">IF($A43="","",SUMIFS(Gastos!$J$7:$J$180,Gastos!$A$7:$A$180,$A43,Gastos!$B$7:$B$180,G$6))</f>
        <v/>
      </c>
      <c r="H43" s="114" t="str">
        <f aca="false">IF($A43="","",$B43-SUM($D43:$G43))</f>
        <v/>
      </c>
      <c r="I43" s="115" t="str">
        <f aca="false">IF($A43="","",COUNTIFS(Gastos!$A$7:$A$180,$A43))</f>
        <v/>
      </c>
    </row>
    <row r="44" customFormat="false" ht="18" hidden="false" customHeight="true" outlineLevel="0" collapsed="false">
      <c r="A44" s="116" t="str">
        <f aca="false">IF($A43="","",IF($A43+1&gt;Painel!$C$8,"",$A43+1))</f>
        <v/>
      </c>
      <c r="B44" s="117" t="str">
        <f aca="false">IF($A44="","",SUMIFS(Gastos!$J$7:$J$180,Gastos!$A$7:$A$180,$A44))</f>
        <v/>
      </c>
      <c r="C44" s="118" t="str">
        <f aca="false">IF($A44="","",SUM($B$7:$B44))</f>
        <v/>
      </c>
      <c r="D44" s="118" t="str">
        <f aca="false">IF($A44="","",SUMIFS(Gastos!$J$7:$J$180,Gastos!$A$7:$A$180,$A44,Gastos!$B$7:$B$180,D$6))</f>
        <v/>
      </c>
      <c r="E44" s="118" t="str">
        <f aca="false">IF($A44="","",SUMIFS(Gastos!$J$7:$J$180,Gastos!$A$7:$A$180,$A44,Gastos!$B$7:$B$180,E$6))</f>
        <v/>
      </c>
      <c r="F44" s="118" t="str">
        <f aca="false">IF($A44="","",SUMIFS(Gastos!$J$7:$J$180,Gastos!$A$7:$A$180,$A44,Gastos!$B$7:$B$180,F$6))</f>
        <v/>
      </c>
      <c r="G44" s="118" t="str">
        <f aca="false">IF($A44="","",SUMIFS(Gastos!$J$7:$J$180,Gastos!$A$7:$A$180,$A44,Gastos!$B$7:$B$180,G$6))</f>
        <v/>
      </c>
      <c r="H44" s="118" t="str">
        <f aca="false">IF($A44="","",$B44-SUM($D44:$G44))</f>
        <v/>
      </c>
      <c r="I44" s="119" t="str">
        <f aca="false">IF($A44="","",COUNTIFS(Gastos!$A$7:$A$180,$A44))</f>
        <v/>
      </c>
    </row>
    <row r="45" customFormat="false" ht="18" hidden="false" customHeight="true" outlineLevel="0" collapsed="false">
      <c r="A45" s="112" t="str">
        <f aca="false">IF($A44="","",IF($A44+1&gt;Painel!$C$8,"",$A44+1))</f>
        <v/>
      </c>
      <c r="B45" s="113" t="str">
        <f aca="false">IF($A45="","",SUMIFS(Gastos!$J$7:$J$180,Gastos!$A$7:$A$180,$A45))</f>
        <v/>
      </c>
      <c r="C45" s="114" t="str">
        <f aca="false">IF($A45="","",SUM($B$7:$B45))</f>
        <v/>
      </c>
      <c r="D45" s="114" t="str">
        <f aca="false">IF($A45="","",SUMIFS(Gastos!$J$7:$J$180,Gastos!$A$7:$A$180,$A45,Gastos!$B$7:$B$180,D$6))</f>
        <v/>
      </c>
      <c r="E45" s="114" t="str">
        <f aca="false">IF($A45="","",SUMIFS(Gastos!$J$7:$J$180,Gastos!$A$7:$A$180,$A45,Gastos!$B$7:$B$180,E$6))</f>
        <v/>
      </c>
      <c r="F45" s="114" t="str">
        <f aca="false">IF($A45="","",SUMIFS(Gastos!$J$7:$J$180,Gastos!$A$7:$A$180,$A45,Gastos!$B$7:$B$180,F$6))</f>
        <v/>
      </c>
      <c r="G45" s="114" t="str">
        <f aca="false">IF($A45="","",SUMIFS(Gastos!$J$7:$J$180,Gastos!$A$7:$A$180,$A45,Gastos!$B$7:$B$180,G$6))</f>
        <v/>
      </c>
      <c r="H45" s="114" t="str">
        <f aca="false">IF($A45="","",$B45-SUM($D45:$G45))</f>
        <v/>
      </c>
      <c r="I45" s="115" t="str">
        <f aca="false">IF($A45="","",COUNTIFS(Gastos!$A$7:$A$180,$A45))</f>
        <v/>
      </c>
    </row>
    <row r="46" customFormat="false" ht="18" hidden="false" customHeight="true" outlineLevel="0" collapsed="false">
      <c r="A46" s="116" t="str">
        <f aca="false">IF($A45="","",IF($A45+1&gt;Painel!$C$8,"",$A45+1))</f>
        <v/>
      </c>
      <c r="B46" s="117" t="str">
        <f aca="false">IF($A46="","",SUMIFS(Gastos!$J$7:$J$180,Gastos!$A$7:$A$180,$A46))</f>
        <v/>
      </c>
      <c r="C46" s="118" t="str">
        <f aca="false">IF($A46="","",SUM($B$7:$B46))</f>
        <v/>
      </c>
      <c r="D46" s="118" t="str">
        <f aca="false">IF($A46="","",SUMIFS(Gastos!$J$7:$J$180,Gastos!$A$7:$A$180,$A46,Gastos!$B$7:$B$180,D$6))</f>
        <v/>
      </c>
      <c r="E46" s="118" t="str">
        <f aca="false">IF($A46="","",SUMIFS(Gastos!$J$7:$J$180,Gastos!$A$7:$A$180,$A46,Gastos!$B$7:$B$180,E$6))</f>
        <v/>
      </c>
      <c r="F46" s="118" t="str">
        <f aca="false">IF($A46="","",SUMIFS(Gastos!$J$7:$J$180,Gastos!$A$7:$A$180,$A46,Gastos!$B$7:$B$180,F$6))</f>
        <v/>
      </c>
      <c r="G46" s="118" t="str">
        <f aca="false">IF($A46="","",SUMIFS(Gastos!$J$7:$J$180,Gastos!$A$7:$A$180,$A46,Gastos!$B$7:$B$180,G$6))</f>
        <v/>
      </c>
      <c r="H46" s="118" t="str">
        <f aca="false">IF($A46="","",$B46-SUM($D46:$G46))</f>
        <v/>
      </c>
      <c r="I46" s="119" t="str">
        <f aca="false">IF($A46="","",COUNTIFS(Gastos!$A$7:$A$180,$A46))</f>
        <v/>
      </c>
    </row>
    <row r="47" customFormat="false" ht="21.75" hidden="false" customHeight="true" outlineLevel="0" collapsed="false">
      <c r="A47" s="120" t="s">
        <v>38</v>
      </c>
      <c r="B47" s="48" t="n">
        <f aca="false">SUM(B7:B46)</f>
        <v>0</v>
      </c>
      <c r="C47" s="121"/>
      <c r="D47" s="48" t="n">
        <f aca="false">SUM(D7:D46)</f>
        <v>0</v>
      </c>
      <c r="E47" s="48" t="n">
        <f aca="false">SUM(E7:E46)</f>
        <v>0</v>
      </c>
      <c r="F47" s="48" t="n">
        <f aca="false">SUM(F7:F46)</f>
        <v>0</v>
      </c>
      <c r="G47" s="48" t="n">
        <f aca="false">SUM(G7:G46)</f>
        <v>0</v>
      </c>
      <c r="H47" s="48" t="n">
        <f aca="false">SUM(H7:H46)</f>
        <v>0</v>
      </c>
      <c r="I47" s="50" t="n">
        <f aca="false">SUM(I7:I46)</f>
        <v>0</v>
      </c>
    </row>
  </sheetData>
  <mergeCells count="2">
    <mergeCell ref="A3:I3"/>
    <mergeCell ref="A4:I4"/>
  </mergeCells>
  <conditionalFormatting sqref="B7:B46">
    <cfRule type="dataBar" priority="2">
      <dataBar showValue="1" minLength="10" maxLength="90">
        <cfvo type="num" val="0"/>
        <cfvo type="max" val="0"/>
        <color rgb="FF2A5DB0"/>
      </dataBar>
      <extLst>
        <ext xmlns:x14="http://schemas.microsoft.com/office/spreadsheetml/2009/9/main" uri="{B025F937-C7B1-47D3-B67F-A62EFF666E3E}">
          <x14:id>{6878C221-5CBA-4D94-842A-C6FD6754212E}</x14:id>
        </ext>
      </extLst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78C221-5CBA-4D94-842A-C6FD6754212E}">
            <x14:dataBar minLength="10" maxLength="90" axisPosition="none" gradient="true">
              <x14:cfvo type="num">
                <xm:f>0</xm:f>
              </x14:cfvo>
              <x14:cfvo type="max"/>
              <x14:negativeFillColor rgb="FF2A5DB0"/>
              <x14:axisColor rgb="FF000000"/>
            </x14:dataBar>
          </x14:cfRule>
          <xm:sqref>B7:B46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true"/>
  </sheetPr>
  <dimension ref="B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8"/>
    <col collapsed="false" customWidth="true" hidden="false" outlineLevel="0" max="3" min="3" style="0" width="2.5"/>
    <col collapsed="false" customWidth="true" hidden="false" outlineLevel="0" max="4" min="4" style="0" width="32"/>
    <col collapsed="false" customWidth="true" hidden="false" outlineLevel="0" max="5" min="5" style="0" width="2.5"/>
    <col collapsed="false" customWidth="true" hidden="false" outlineLevel="0" max="6" min="6" style="0" width="16"/>
    <col collapsed="false" customWidth="true" hidden="false" outlineLevel="0" max="7" min="7" style="0" width="2.5"/>
    <col collapsed="false" customWidth="true" hidden="false" outlineLevel="0" max="8" min="8" style="0" width="16"/>
    <col collapsed="false" customWidth="true" hidden="false" outlineLevel="0" max="9" min="9" style="0" width="2.5"/>
    <col collapsed="false" customWidth="true" hidden="false" outlineLevel="0" max="10" min="10" style="0" width="26"/>
    <col collapsed="false" customWidth="true" hidden="false" outlineLevel="0" max="11" min="11" style="0" width="2.5"/>
    <col collapsed="false" customWidth="true" hidden="false" outlineLevel="0" max="12" min="12" style="0" width="18"/>
    <col collapsed="false" customWidth="true" hidden="false" outlineLevel="0" max="13" min="13" style="0" width="2.5"/>
  </cols>
  <sheetData>
    <row r="1" customFormat="false" ht="6" hidden="false" customHeight="true" outlineLevel="0" collapsed="false"/>
    <row r="2" customFormat="false" ht="6.75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6" hidden="false" customHeight="true" outlineLevel="0" collapsed="false">
      <c r="B3" s="2" t="s">
        <v>287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9.5" hidden="false" customHeight="true" outlineLevel="0" collapsed="false">
      <c r="B4" s="3" t="s">
        <v>288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2" hidden="false" customHeight="true" outlineLevel="0" collapsed="false"/>
    <row r="6" customFormat="false" ht="21.75" hidden="false" customHeight="true" outlineLevel="0" collapsed="false">
      <c r="B6" s="122" t="s">
        <v>289</v>
      </c>
      <c r="D6" s="122" t="s">
        <v>290</v>
      </c>
      <c r="F6" s="122" t="s">
        <v>291</v>
      </c>
      <c r="H6" s="122" t="s">
        <v>292</v>
      </c>
      <c r="J6" s="122" t="s">
        <v>293</v>
      </c>
      <c r="L6" s="122" t="s">
        <v>294</v>
      </c>
    </row>
    <row r="7" customFormat="false" ht="18" hidden="false" customHeight="true" outlineLevel="0" collapsed="false">
      <c r="B7" s="123" t="s">
        <v>67</v>
      </c>
      <c r="D7" s="123" t="s">
        <v>295</v>
      </c>
      <c r="F7" s="123" t="s">
        <v>296</v>
      </c>
      <c r="H7" s="123" t="s">
        <v>297</v>
      </c>
      <c r="J7" s="123" t="s">
        <v>85</v>
      </c>
      <c r="L7" s="123" t="s">
        <v>187</v>
      </c>
    </row>
    <row r="8" customFormat="false" ht="18" hidden="false" customHeight="true" outlineLevel="0" collapsed="false">
      <c r="B8" s="123" t="s">
        <v>298</v>
      </c>
      <c r="D8" s="123" t="s">
        <v>299</v>
      </c>
      <c r="F8" s="123" t="s">
        <v>300</v>
      </c>
      <c r="H8" s="123" t="s">
        <v>301</v>
      </c>
      <c r="J8" s="123" t="s">
        <v>95</v>
      </c>
      <c r="L8" s="123" t="s">
        <v>302</v>
      </c>
    </row>
    <row r="9" customFormat="false" ht="18" hidden="false" customHeight="true" outlineLevel="0" collapsed="false">
      <c r="B9" s="123" t="s">
        <v>303</v>
      </c>
      <c r="D9" s="123" t="s">
        <v>304</v>
      </c>
      <c r="F9" s="123" t="s">
        <v>71</v>
      </c>
      <c r="H9" s="123" t="s">
        <v>70</v>
      </c>
      <c r="J9" s="123" t="s">
        <v>98</v>
      </c>
      <c r="L9" s="123" t="s">
        <v>305</v>
      </c>
    </row>
    <row r="10" customFormat="false" ht="18" hidden="false" customHeight="true" outlineLevel="0" collapsed="false">
      <c r="B10" s="123" t="s">
        <v>306</v>
      </c>
      <c r="D10" s="123" t="s">
        <v>307</v>
      </c>
      <c r="F10" s="123" t="s">
        <v>308</v>
      </c>
      <c r="H10" s="124"/>
      <c r="J10" s="123" t="s">
        <v>150</v>
      </c>
      <c r="L10" s="123" t="s">
        <v>296</v>
      </c>
    </row>
    <row r="11" customFormat="false" ht="18" hidden="false" customHeight="true" outlineLevel="0" collapsed="false">
      <c r="B11" s="123" t="s">
        <v>309</v>
      </c>
      <c r="D11" s="123" t="s">
        <v>310</v>
      </c>
      <c r="F11" s="124"/>
      <c r="H11" s="124"/>
      <c r="J11" s="123" t="s">
        <v>311</v>
      </c>
      <c r="L11" s="124"/>
    </row>
    <row r="12" customFormat="false" ht="18" hidden="false" customHeight="true" outlineLevel="0" collapsed="false">
      <c r="B12" s="123" t="s">
        <v>312</v>
      </c>
      <c r="D12" s="123" t="s">
        <v>313</v>
      </c>
      <c r="F12" s="124"/>
      <c r="H12" s="124"/>
      <c r="J12" s="123" t="s">
        <v>314</v>
      </c>
      <c r="L12" s="124"/>
    </row>
    <row r="13" customFormat="false" ht="18" hidden="false" customHeight="true" outlineLevel="0" collapsed="false">
      <c r="B13" s="123" t="s">
        <v>92</v>
      </c>
      <c r="D13" s="123" t="s">
        <v>315</v>
      </c>
      <c r="F13" s="124"/>
      <c r="H13" s="124"/>
      <c r="J13" s="123" t="s">
        <v>316</v>
      </c>
      <c r="L13" s="124"/>
    </row>
    <row r="14" customFormat="false" ht="18" hidden="false" customHeight="true" outlineLevel="0" collapsed="false">
      <c r="B14" s="123" t="s">
        <v>317</v>
      </c>
      <c r="D14" s="123" t="s">
        <v>318</v>
      </c>
      <c r="F14" s="124"/>
      <c r="H14" s="124"/>
      <c r="J14" s="123" t="s">
        <v>69</v>
      </c>
      <c r="L14" s="124"/>
    </row>
    <row r="15" customFormat="false" ht="18" hidden="false" customHeight="true" outlineLevel="0" collapsed="false">
      <c r="B15" s="123" t="s">
        <v>319</v>
      </c>
      <c r="D15" s="124"/>
      <c r="F15" s="124"/>
      <c r="H15" s="124"/>
      <c r="J15" s="123" t="s">
        <v>320</v>
      </c>
      <c r="L15" s="124"/>
    </row>
    <row r="16" customFormat="false" ht="18" hidden="false" customHeight="true" outlineLevel="0" collapsed="false">
      <c r="B16" s="123" t="s">
        <v>321</v>
      </c>
      <c r="D16" s="124"/>
      <c r="F16" s="124"/>
      <c r="H16" s="124"/>
      <c r="J16" s="124"/>
      <c r="L16" s="124"/>
    </row>
    <row r="17" customFormat="false" ht="18" hidden="false" customHeight="true" outlineLevel="0" collapsed="false">
      <c r="B17" s="123" t="s">
        <v>322</v>
      </c>
      <c r="D17" s="124"/>
      <c r="F17" s="124"/>
      <c r="H17" s="124"/>
      <c r="J17" s="124"/>
      <c r="L17" s="124"/>
    </row>
    <row r="18" customFormat="false" ht="18" hidden="false" customHeight="true" outlineLevel="0" collapsed="false">
      <c r="B18" s="123" t="s">
        <v>323</v>
      </c>
      <c r="D18" s="124"/>
      <c r="F18" s="124"/>
      <c r="H18" s="124"/>
      <c r="J18" s="124"/>
      <c r="L18" s="124"/>
    </row>
    <row r="19" customFormat="false" ht="18" hidden="false" customHeight="true" outlineLevel="0" collapsed="false">
      <c r="B19" s="123" t="s">
        <v>324</v>
      </c>
      <c r="D19" s="124"/>
      <c r="F19" s="124"/>
      <c r="H19" s="124"/>
      <c r="J19" s="124"/>
      <c r="L19" s="124"/>
    </row>
    <row r="20" customFormat="false" ht="18" hidden="false" customHeight="true" outlineLevel="0" collapsed="false">
      <c r="B20" s="124"/>
      <c r="D20" s="124"/>
      <c r="F20" s="124"/>
      <c r="H20" s="124"/>
      <c r="J20" s="124"/>
      <c r="L20" s="124"/>
    </row>
    <row r="21" customFormat="false" ht="18" hidden="false" customHeight="true" outlineLevel="0" collapsed="false">
      <c r="B21" s="124"/>
      <c r="D21" s="124"/>
      <c r="F21" s="124"/>
      <c r="H21" s="124"/>
      <c r="J21" s="124"/>
      <c r="L21" s="124"/>
    </row>
    <row r="22" customFormat="false" ht="18" hidden="false" customHeight="true" outlineLevel="0" collapsed="false">
      <c r="B22" s="124"/>
      <c r="D22" s="124"/>
      <c r="F22" s="124"/>
      <c r="H22" s="124"/>
      <c r="J22" s="124"/>
      <c r="L22" s="124"/>
    </row>
    <row r="23" customFormat="false" ht="18" hidden="false" customHeight="true" outlineLevel="0" collapsed="false">
      <c r="B23" s="124"/>
      <c r="D23" s="124"/>
      <c r="F23" s="124"/>
      <c r="H23" s="124"/>
      <c r="J23" s="124"/>
      <c r="L23" s="124"/>
    </row>
    <row r="24" customFormat="false" ht="18" hidden="false" customHeight="true" outlineLevel="0" collapsed="false">
      <c r="B24" s="124"/>
      <c r="D24" s="124"/>
      <c r="F24" s="124"/>
      <c r="H24" s="124"/>
      <c r="J24" s="124"/>
      <c r="L24" s="124"/>
    </row>
    <row r="25" customFormat="false" ht="18" hidden="false" customHeight="true" outlineLevel="0" collapsed="false">
      <c r="B25" s="124"/>
      <c r="D25" s="124"/>
      <c r="F25" s="124"/>
      <c r="H25" s="124"/>
      <c r="J25" s="124"/>
      <c r="L25" s="124"/>
    </row>
    <row r="26" customFormat="false" ht="18" hidden="false" customHeight="true" outlineLevel="0" collapsed="false">
      <c r="B26" s="124"/>
      <c r="D26" s="124"/>
      <c r="F26" s="124"/>
      <c r="H26" s="124"/>
      <c r="J26" s="124"/>
      <c r="L26" s="124"/>
    </row>
    <row r="28" customFormat="false" ht="15" hidden="false" customHeight="false" outlineLevel="0" collapsed="false">
      <c r="B28" s="125" t="s">
        <v>325</v>
      </c>
      <c r="C28" s="125"/>
      <c r="D28" s="125"/>
      <c r="E28" s="125"/>
      <c r="F28" s="125"/>
      <c r="G28" s="125"/>
      <c r="H28" s="125"/>
      <c r="I28" s="125"/>
      <c r="J28" s="125"/>
      <c r="K28" s="125"/>
      <c r="L28" s="125"/>
    </row>
  </sheetData>
  <mergeCells count="3">
    <mergeCell ref="B3:L3"/>
    <mergeCell ref="B4:L4"/>
    <mergeCell ref="B28:L2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2026-08-15T15:57:56Z</dcterms:created>
  <dc:creator>openpyxl</dc:creator>
  <dc:description/>
  <dc:language>en-US</dc:language>
  <cp:lastModifiedBy/>
  <dcterms:modified xsi:type="dcterms:W3CDTF">2026-08-15T15:57:57Z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