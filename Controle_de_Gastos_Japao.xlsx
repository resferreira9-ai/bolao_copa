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Gastos" sheetId="2" state="visible" r:id="rId4"/>
    <sheet name="Roteiro" sheetId="3" state="visible" r:id="rId5"/>
    <sheet name="Por Dia" sheetId="4" state="visible" r:id="rId6"/>
    <sheet name="Listas" sheetId="5" state="visible" r:id="rId7"/>
  </sheets>
  <definedNames>
    <definedName function="false" hidden="false" localSheetId="1" name="_xlnm.Print_Area" vbProcedure="false">Gastos!$A$1:$K$206</definedName>
    <definedName function="false" hidden="false" localSheetId="1" name="_xlnm.Print_Titles" vbProcedure="false">Gastos!$6:$6</definedName>
    <definedName function="false" hidden="true" localSheetId="1" name="_xlnm._FilterDatabase" vbProcedure="false">Gastos!$A$6:$K$400</definedName>
    <definedName function="false" hidden="false" localSheetId="4" name="_xlnm.Print_Area" vbProcedure="false">Listas!$A$1:$M$28</definedName>
    <definedName function="false" hidden="false" localSheetId="0" name="_xlnm.Print_Area" vbProcedure="false">Painel!$A$1:$I$58</definedName>
    <definedName function="false" hidden="false" localSheetId="3" name="_xlnm.Print_Area" vbProcedure="false">'Por Dia'!$A$1:$I$47</definedName>
    <definedName function="false" hidden="false" localSheetId="3" name="_xlnm.Print_Titles" vbProcedure="false">'Por Dia'!$6:$6</definedName>
    <definedName function="false" hidden="false" localSheetId="2" name="_xlnm.Print_Area" vbProcedure="false">Roteiro!$A$1:$K$103</definedName>
    <definedName function="false" hidden="false" name="CATEGORIAS" vbProcedure="false">OFFSET(Listas!$B$7,0,0,MAX(1,COUNTA(Listas!$B$7:$B$26)),1)</definedName>
    <definedName function="false" hidden="false" name="CIDADES" vbProcedure="false">OFFSET(Listas!$J$7,0,0,MAX(1,COUNTA(Listas!$J$7:$J$26)),1)</definedName>
    <definedName function="false" hidden="false" name="MOEDAS" vbProcedure="false">Painel!$E$8:$E$10</definedName>
    <definedName function="false" hidden="false" name="PAGAMENTOS" vbProcedure="false">OFFSET(Listas!$D$7,0,0,MAX(1,COUNTA(Listas!$D$7:$D$26)),1)</definedName>
    <definedName function="false" hidden="false" name="PESSOAS" vbProcedure="false">OFFSET(Listas!$H$7,0,0,MAX(1,COUNTA(Listas!$H$7:$H$26)),1)</definedName>
    <definedName function="false" hidden="false" name="STATUS" vbProcedure="false">OFFSET(Listas!$F$7,0,0,MAX(1,COUNTA(Listas!$F$7:$F$26)),1)</definedName>
    <definedName function="false" hidden="false" name="STATUS_RESERVA" vbProcedure="false">OFFSET(Listas!$L$7,0,0,MAX(1,COUNTA(Listas!$L$7:$L$26)),1)</definedName>
    <definedName function="false" hidden="false" name="TAXAS" vbProcedure="false">Painel!$F$8:$F$10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<sst xmlns="http://schemas.openxmlformats.org/spreadsheetml/2006/main" count="396" uniqueCount="323">
  <si>
    <t xml:space="preserve">CONTROLE DE GASTOS  •  JAPÃO 2027</t>
  </si>
  <si>
    <t xml:space="preserve">30 de abril a 16 de maio de 2027  •  Tóquio, Quioto e Osaka  •  17 dias, 16 noites</t>
  </si>
  <si>
    <t xml:space="preserve">DADOS DA VIAGEM</t>
  </si>
  <si>
    <t xml:space="preserve">CÂMBIO — quanto vale 1 unidade em R$</t>
  </si>
  <si>
    <t xml:space="preserve">Destino</t>
  </si>
  <si>
    <t xml:space="preserve">Japão</t>
  </si>
  <si>
    <t xml:space="preserve">Moeda</t>
  </si>
  <si>
    <t xml:space="preserve">Cotação (R$)</t>
  </si>
  <si>
    <t xml:space="preserve">Fonte da cotação</t>
  </si>
  <si>
    <t xml:space="preserve">Data de ida</t>
  </si>
  <si>
    <t xml:space="preserve">JPY</t>
  </si>
  <si>
    <t xml:space="preserve">Iene japonês  -  Wise, faixa 0,0322-0,0326 na semana de 04-14/08/2026</t>
  </si>
  <si>
    <t xml:space="preserve">Data de volta</t>
  </si>
  <si>
    <t xml:space="preserve">BRL</t>
  </si>
  <si>
    <t xml:space="preserve">Real brasileiro  -  moeda base da planilha</t>
  </si>
  <si>
    <t xml:space="preserve">Nº de viajantes</t>
  </si>
  <si>
    <t xml:space="preserve">USD</t>
  </si>
  <si>
    <t xml:space="preserve">Dólar americano  -  fechamento de 13/08/2026 (R$ 5,1896)</t>
  </si>
  <si>
    <t xml:space="preserve">Duração (dias)</t>
  </si>
  <si>
    <t xml:space="preserve">Cotações apuradas em 15/08/2026. Como a viagem é em 2027, trate como referência e atualize antes de comprar e durante a viagem.</t>
  </si>
  <si>
    <t xml:space="preserve">Orçamento total (R$)</t>
  </si>
  <si>
    <t xml:space="preserve">RESUMO</t>
  </si>
  <si>
    <t xml:space="preserve">TOTAL GASTO</t>
  </si>
  <si>
    <t xml:space="preserve">JÁ PAGO</t>
  </si>
  <si>
    <t xml:space="preserve">EM ABERTO</t>
  </si>
  <si>
    <t xml:space="preserve">SALDO DO ORÇAMENTO</t>
  </si>
  <si>
    <t xml:space="preserve">GASTO POR PESSOA</t>
  </si>
  <si>
    <t xml:space="preserve">GASTO POR DIA DE VIAGEM</t>
  </si>
  <si>
    <t xml:space="preserve">GASTOS ANTES DE EMBARCAR</t>
  </si>
  <si>
    <t xml:space="preserve">GASTOS DURANTE A VIAGEM</t>
  </si>
  <si>
    <t xml:space="preserve">GASTOS POR CATEGORIA  —  preencha a coluna Orçamento com os seus valores</t>
  </si>
  <si>
    <t xml:space="preserve">Categoria</t>
  </si>
  <si>
    <t xml:space="preserve">Orçamento (R$)</t>
  </si>
  <si>
    <t xml:space="preserve">Gasto (R$)</t>
  </si>
  <si>
    <t xml:space="preserve">Já pago</t>
  </si>
  <si>
    <t xml:space="preserve">Em aberto</t>
  </si>
  <si>
    <t xml:space="preserve">% do total</t>
  </si>
  <si>
    <t xml:space="preserve">Saldo do orçamento</t>
  </si>
  <si>
    <t xml:space="preserve">Lançamentos</t>
  </si>
  <si>
    <t xml:space="preserve">TOTAL</t>
  </si>
  <si>
    <t xml:space="preserve">POR FORMA DE PAGAMENTO</t>
  </si>
  <si>
    <t xml:space="preserve">POR PESSOA</t>
  </si>
  <si>
    <t xml:space="preserve">Forma de pagamento</t>
  </si>
  <si>
    <t xml:space="preserve">Total (R$)</t>
  </si>
  <si>
    <t xml:space="preserve">Quem pagou</t>
  </si>
  <si>
    <t xml:space="preserve">COMO USAR ESTA PLANILHA</t>
  </si>
  <si>
    <t xml:space="preserve">1.  Atualize as cotações (célula amarela) sempre que for comprar algo em iene.</t>
  </si>
  <si>
    <t xml:space="preserve">2.  Defina o orçamento de cada categoria na coluna "Orçamento (R$)" acima. Ela nasce vazia de propósito — a aba ROTEIRO traz faixas de custo reais para você se basear.</t>
  </si>
  <si>
    <t xml:space="preserve">3.  Lance cada gasto na aba GASTOS, uma linha por gasto. As colunas com seta abrem menu suspenso.</t>
  </si>
  <si>
    <t xml:space="preserve">4.  Digite o valor na moeda em que pagou e escolha a moeda — a conversão para real é automática.</t>
  </si>
  <si>
    <t xml:space="preserve">5.  Marque o STATUS (Pago / Pendente / Parcelado / Reembolsado). Este painel se atualiza sozinho.</t>
  </si>
  <si>
    <t xml:space="preserve">ATENÇÃO: a viagem começa dentro da Golden Week japonesa (29/04 a 05/05/2027), o feriadão mais movimentado do Japão. Veja o alerta na aba ROTEIRO antes de reservar qualquer coisa.</t>
  </si>
  <si>
    <t xml:space="preserve">Amarelo = você preenche.    Cinza = calculado automaticamente, não precisa mexer.</t>
  </si>
  <si>
    <t xml:space="preserve">LANÇAMENTO DE GASTOS  •  JAPÃO 2027</t>
  </si>
  <si>
    <t xml:space="preserve">Uma linha por gasto. "Valor em R$" é calculado pela cotação do Painel — não digite nada nessa coluna.</t>
  </si>
  <si>
    <t xml:space="preserve">Data</t>
  </si>
  <si>
    <t xml:space="preserve">Descrição</t>
  </si>
  <si>
    <t xml:space="preserve">Cidade / Local</t>
  </si>
  <si>
    <t xml:space="preserve">Status</t>
  </si>
  <si>
    <t xml:space="preserve">Valor pago</t>
  </si>
  <si>
    <t xml:space="preserve">Valor em R$</t>
  </si>
  <si>
    <t xml:space="preserve">Observações</t>
  </si>
  <si>
    <t xml:space="preserve">Passagens Aéreas</t>
  </si>
  <si>
    <t xml:space="preserve">Passagens aéreas Brasil - Tóquio (ida e volta, 2 pessoas)</t>
  </si>
  <si>
    <t xml:space="preserve">Brasil (pré-viagem)</t>
  </si>
  <si>
    <t xml:space="preserve">Dividido</t>
  </si>
  <si>
    <t xml:space="preserve">Pago</t>
  </si>
  <si>
    <t xml:space="preserve">Valor informado por você. Preencha a data da compra e a forma de pagamento.</t>
  </si>
  <si>
    <t xml:space="preserve">Alimentação</t>
  </si>
  <si>
    <t xml:space="preserve">EXEMPLO — APAGUE ESTA LINHA</t>
  </si>
  <si>
    <t xml:space="preserve">Tóquio</t>
  </si>
  <si>
    <t xml:space="preserve">Viajante 1</t>
  </si>
  <si>
    <t xml:space="preserve">Dinheiro (iene)</t>
  </si>
  <si>
    <t xml:space="preserve">Mostra a conversão automática: 3.200 ienes viram reais sozinhos.</t>
  </si>
  <si>
    <t xml:space="preserve">ROTEIRO E DICAS  •  JAPÃO 2027</t>
  </si>
  <si>
    <t xml:space="preserve">Sugestão de 17 dias entrando e saindo por Tóquio, com Quioto, Osaka, Monte Fuji e Tokyo Disney</t>
  </si>
  <si>
    <t xml:space="preserve">ATENÇÃO — SUA VIAGEM COMEÇA DENTRO DA GOLDEN WEEK</t>
  </si>
  <si>
    <t xml:space="preserve">A Golden Week de 2027 vai de quinta 29/04 a quarta 05/05 — quatro feriados nacionais emendados. É o feriadão em que o Japão inteiro viaja ao mesmo tempo.</t>
  </si>
  <si>
    <t xml:space="preserve">Pico de saída das cidades: 29 e 30/04 (vocês pousam justamente no dia 30).  Pico de volta: 04 e 05/05.  Nesses dias, evite deslocamento entre cidades.</t>
  </si>
  <si>
    <t xml:space="preserve">Por isso o roteiro abaixo mantém vocês parados em Tóquio até 07/05 e só então desce para Quioto: shinkansen lotado e hotel caro nessas datas, e a cidade fica mais tranquila porque muito japonês viaja para fora.</t>
  </si>
  <si>
    <t xml:space="preserve">Consequência prática: a hospedagem em Tóquio de 30/04 a 07/05 é a reserva mais urgente de todas. Hotel bom em Golden Week esgota com meses de antecedência.</t>
  </si>
  <si>
    <t xml:space="preserve">RESUMO DO ROTEIRO</t>
  </si>
  <si>
    <t xml:space="preserve">Trecho</t>
  </si>
  <si>
    <t xml:space="preserve">Datas</t>
  </si>
  <si>
    <t xml:space="preserve">Noites</t>
  </si>
  <si>
    <t xml:space="preserve">Por quê</t>
  </si>
  <si>
    <t xml:space="preserve">30/04 a 07/05</t>
  </si>
  <si>
    <t xml:space="preserve">Atravessar a Golden Week sem trocar de cidade</t>
  </si>
  <si>
    <t xml:space="preserve">Monte Fuji (bate-volta)</t>
  </si>
  <si>
    <t xml:space="preserve">06/05</t>
  </si>
  <si>
    <t xml:space="preserve">—</t>
  </si>
  <si>
    <t xml:space="preserve">Feriadão acabou: estrada e ônibus liberam</t>
  </si>
  <si>
    <t xml:space="preserve">Tokyo Disney</t>
  </si>
  <si>
    <t xml:space="preserve">07/05</t>
  </si>
  <si>
    <t xml:space="preserve">Sexta pós-feriado: dia mais calmo do período</t>
  </si>
  <si>
    <t xml:space="preserve">Quioto</t>
  </si>
  <si>
    <t xml:space="preserve">08/05 a 12/05</t>
  </si>
  <si>
    <t xml:space="preserve">Templos, Arashiyama e bate-volta a Nara</t>
  </si>
  <si>
    <t xml:space="preserve">Osaka</t>
  </si>
  <si>
    <t xml:space="preserve">12/05 a 15/05</t>
  </si>
  <si>
    <t xml:space="preserve">Comida, Dotonbori e Universal Studios (opcional)</t>
  </si>
  <si>
    <t xml:space="preserve">Tóquio (última noite)</t>
  </si>
  <si>
    <t xml:space="preserve">15/05 a 16/05</t>
  </si>
  <si>
    <t xml:space="preserve">Volta de shinkansen e voo no dia 16</t>
  </si>
  <si>
    <t xml:space="preserve">ROTEIRO DIA A DIA  —  sugestão, ajuste como quiser</t>
  </si>
  <si>
    <t xml:space="preserve">Dia</t>
  </si>
  <si>
    <t xml:space="preserve">Base</t>
  </si>
  <si>
    <t xml:space="preserve">Programa sugerido</t>
  </si>
  <si>
    <t xml:space="preserve">Observação</t>
  </si>
  <si>
    <t xml:space="preserve">30/04</t>
  </si>
  <si>
    <t xml:space="preserve">sex</t>
  </si>
  <si>
    <t xml:space="preserve">Chegada. Comprar o IC card (Welcome Suica / Tourist Pasmo) no aeroporto, check-in e um jantar leve perto do hotel.</t>
  </si>
  <si>
    <t xml:space="preserve">Pico da Golden Week. Não marque nada exigente no dia da chegada.</t>
  </si>
  <si>
    <t xml:space="preserve">01/05</t>
  </si>
  <si>
    <t xml:space="preserve">sáb</t>
  </si>
  <si>
    <t xml:space="preserve">Shibuya (cruzamento e Shibuya Sky), Harajuku e Takeshita, Meiji Jingu, Omotesando.</t>
  </si>
  <si>
    <t xml:space="preserve">Shibuya Sky é ingresso datado — compre online semanas antes.</t>
  </si>
  <si>
    <t xml:space="preserve">02/05</t>
  </si>
  <si>
    <t xml:space="preserve">dom</t>
  </si>
  <si>
    <t xml:space="preserve">Asakusa e o templo Senso-ji, rua Nakamise, Tokyo Skytree, parque e museus de Ueno.</t>
  </si>
  <si>
    <t xml:space="preserve">Chegue em Senso-ji antes das 9h para escapar do fluxo.</t>
  </si>
  <si>
    <t xml:space="preserve">03/05</t>
  </si>
  <si>
    <t xml:space="preserve">seg</t>
  </si>
  <si>
    <t xml:space="preserve">Shinjuku: jardim Gyoen, Omoide Yokocho, Kabukicho e o mirante grátis do Tocho.</t>
  </si>
  <si>
    <t xml:space="preserve">Feriado da Constituição. Prefira bairro a cartão-postal.</t>
  </si>
  <si>
    <t xml:space="preserve">04/05</t>
  </si>
  <si>
    <t xml:space="preserve">ter</t>
  </si>
  <si>
    <t xml:space="preserve">teamLab, Odaiba, ou Ginza com o mercado externo de Tsukiji pela manhã.</t>
  </si>
  <si>
    <t xml:space="preserve">Feriado. teamLab é ingresso datado, esgota.</t>
  </si>
  <si>
    <t xml:space="preserve">05/05</t>
  </si>
  <si>
    <t xml:space="preserve">qua</t>
  </si>
  <si>
    <t xml:space="preserve">Bairros com menos turista: Shimokitazawa, Nakameguro, Yanaka, Koenji. Akihabara à noite.</t>
  </si>
  <si>
    <t xml:space="preserve">Último feriado do bloco e pico de volta às cidades.</t>
  </si>
  <si>
    <t xml:space="preserve">qui</t>
  </si>
  <si>
    <t xml:space="preserve">Monte Fuji</t>
  </si>
  <si>
    <t xml:space="preserve">Bate-volta a Kawaguchiko: pagode Chureito, Oishi Park, lago Kawaguchi. Se o festival estiver aberto, Fuji Shibazakura.</t>
  </si>
  <si>
    <t xml:space="preserve">Ônibus do terminal Busta Shinjuku, ~2h, reserve antes. Festival costuma ir de meados de abril a fim de maio — confirme as datas de 2027.</t>
  </si>
  <si>
    <t xml:space="preserve">Um dia inteiro: DisneySea (único no mundo, área Fantasy Springs) ou Disneyland (o clássico).</t>
  </si>
  <si>
    <t xml:space="preserve">Ingresso entra à venda exatamente 2 meses antes, 14h no Japão = 02h de Brasília do dia 07/03/2027. Datas boas esgotam em horas.</t>
  </si>
  <si>
    <t xml:space="preserve">08/05</t>
  </si>
  <si>
    <t xml:space="preserve">Tóquio → Quioto</t>
  </si>
  <si>
    <t xml:space="preserve">Shinkansen de manhã (~2h15). À tarde, Higashiyama: Kiyomizu-dera e Gion no fim do dia.</t>
  </si>
  <si>
    <t xml:space="preserve">Reserve assento pelo smartEX. Considere mandar a mala por takkyubin.</t>
  </si>
  <si>
    <t xml:space="preserve">09/05</t>
  </si>
  <si>
    <t xml:space="preserve">Arashiyama: bambuzal, templo Tenryu-ji e o parque dos macacos. À tarde, Kinkaku-ji (Pavilhão Dourado).</t>
  </si>
  <si>
    <t xml:space="preserve">Bambuzal antes das 8h ou depois das 17h — no meio do dia é impraticável.</t>
  </si>
  <si>
    <t xml:space="preserve">10/05</t>
  </si>
  <si>
    <t xml:space="preserve">Fushimi Inari (os mil torii), templo Tofuku-ji e mercado Nishiki.</t>
  </si>
  <si>
    <t xml:space="preserve">Fushimi Inari é aberto 24h e de graça: vá bem cedo ou no fim da tarde.</t>
  </si>
  <si>
    <t xml:space="preserve">11/05</t>
  </si>
  <si>
    <t xml:space="preserve">Nara</t>
  </si>
  <si>
    <t xml:space="preserve">Bate-volta de ~45 min: Todai-ji e o Grande Buda, parque dos cervos, Kasuga Taisha.</t>
  </si>
  <si>
    <t xml:space="preserve">Trem Kintetsu saindo de Quioto. Meio dia dá, mas o dia inteiro rende mais.</t>
  </si>
  <si>
    <t xml:space="preserve">12/05</t>
  </si>
  <si>
    <t xml:space="preserve">Quioto → Osaka</t>
  </si>
  <si>
    <t xml:space="preserve">Manhã em Quioto (Ginkaku-ji e o Caminho do Filósofo). À tarde, trem para Osaka e Dotonbori à noite.</t>
  </si>
  <si>
    <t xml:space="preserve">Quioto-Osaka é ~15 min de shinkansen ou ~30 min de trem comum.</t>
  </si>
  <si>
    <t xml:space="preserve">13/05</t>
  </si>
  <si>
    <t xml:space="preserve">Castelo de Osaka, Umeda Sky Building, Shinsekai e Tsutenkaku, mercado Kuromon.</t>
  </si>
  <si>
    <t xml:space="preserve">Alternativa: trocar o dia inteiro pelo Universal Studios Japan (ingresso antecipado).</t>
  </si>
  <si>
    <t xml:space="preserve">14/05</t>
  </si>
  <si>
    <t xml:space="preserve">Dia livre: compras em Shinsaibashi e Namba, ou bate-volta a Kobe ou ao castelo de Himeji.</t>
  </si>
  <si>
    <t xml:space="preserve">Bom dia para compras: tax-free acima de ¥5.000 apresentando o passaporte.</t>
  </si>
  <si>
    <t xml:space="preserve">15/05</t>
  </si>
  <si>
    <t xml:space="preserve">Osaka → Tóquio</t>
  </si>
  <si>
    <t xml:space="preserve">Shinkansen (~2h30). Últimas compras e hotel perto da estação ou do aeroporto.</t>
  </si>
  <si>
    <t xml:space="preserve">Sábado é movimentado: reserve o trem com antecedência.</t>
  </si>
  <si>
    <t xml:space="preserve">16/05</t>
  </si>
  <si>
    <t xml:space="preserve">Voo de volta</t>
  </si>
  <si>
    <t xml:space="preserve">Traslado ao aeroporto: Narita ~1h a 1h30, Haneda ~40 min.</t>
  </si>
  <si>
    <t xml:space="preserve">Chegue 3h antes. Dá para devolver o IC card e resgatar o saldo.</t>
  </si>
  <si>
    <t xml:space="preserve">O QUE VER EM CADA LUGAR</t>
  </si>
  <si>
    <t xml:space="preserve">Lugar</t>
  </si>
  <si>
    <t xml:space="preserve">Destaques</t>
  </si>
  <si>
    <t xml:space="preserve">Shibuya e o cruzamento • Shibuya Sky • Shinjuku e o Gyoen • Asakusa e Senso-ji • Tokyo Skytree • Ueno • Akihabara • Ginza e Tsukiji • Meiji Jingu e Harajuku • teamLab • Yanaka e Shimokitazawa para fugir da multidão</t>
  </si>
  <si>
    <t xml:space="preserve">Monte Fuji / Kawaguchiko</t>
  </si>
  <si>
    <t xml:space="preserve">Pagode Chureito (a foto clássica) • Oishi Park à beira do lago Kawaguchi • teleférico Kachi Kachi • Fuji Shibazakura, o tapete de flores rosa, que costuma abrir de meados de abril a fim de maio</t>
  </si>
  <si>
    <t xml:space="preserve">DisneySea: não existe igual no mundo, e a área Fantasy Springs é a mais nova • Disneyland: o parque clássico, melhor com crianças • Premier Access no app para furar fila em atração específica</t>
  </si>
  <si>
    <t xml:space="preserve">Kiyomizu-dera • Fushimi Inari • Arashiyama e o bambuzal • Kinkaku-ji • Ginkaku-ji e o Caminho do Filósofo • Gion ao entardecer • mercado Nishiki • Ryoan-ji e seu jardim zen</t>
  </si>
  <si>
    <t xml:space="preserve">Nara (bate-volta)</t>
  </si>
  <si>
    <t xml:space="preserve">Todai-ji e o Grande Buda de bronze • parque dos cervos soltos • Kasuga Taisha e suas lanternas</t>
  </si>
  <si>
    <t xml:space="preserve">Dotonbori e o letreiro do Glico • Namba • Castelo de Osaka • Umeda Sky Building • Shinsekai e Tsutenkaku • mercado Kuromon • Universal Studios Japan</t>
  </si>
  <si>
    <t xml:space="preserve">O QUE RESERVAR E QUANDO  —  em ordem de urgência</t>
  </si>
  <si>
    <t xml:space="preserve">O que reservar</t>
  </si>
  <si>
    <t xml:space="preserve">Quando</t>
  </si>
  <si>
    <t xml:space="preserve">Hospedagem em Tóquio (30/04 a 07/05)</t>
  </si>
  <si>
    <t xml:space="preserve">Assim que possível — é Golden Week, esgota com meses de antecedência</t>
  </si>
  <si>
    <t xml:space="preserve">A fazer</t>
  </si>
  <si>
    <t xml:space="preserve">Hospedagem em Quioto (08 a 12/05) e Osaka (12 a 15/05)</t>
  </si>
  <si>
    <t xml:space="preserve">4 a 6 meses antes</t>
  </si>
  <si>
    <t xml:space="preserve">Ingresso do Tokyo Disney</t>
  </si>
  <si>
    <t xml:space="preserve">07/03/2027, às 02h de Brasília (14h no Japão) — exatamente 2 meses antes</t>
  </si>
  <si>
    <t xml:space="preserve">Shinkansen Tóquio→Quioto e Osaka→Tóquio</t>
  </si>
  <si>
    <t xml:space="preserve">Abre 1 mês antes, pelo smartEX ou nos sites da JR</t>
  </si>
  <si>
    <t xml:space="preserve">Ônibus Shinjuku → Kawaguchiko (Monte Fuji)</t>
  </si>
  <si>
    <t xml:space="preserve">Semanas antes; é ônibus com assento marcado</t>
  </si>
  <si>
    <t xml:space="preserve">Shibuya Sky e teamLab</t>
  </si>
  <si>
    <t xml:space="preserve">Ingressos datados, semanas antes</t>
  </si>
  <si>
    <t xml:space="preserve">Universal Studios Japan (se decidirem ir)</t>
  </si>
  <si>
    <t xml:space="preserve">Semanas antes, com Express Pass se quiserem furar fila</t>
  </si>
  <si>
    <t xml:space="preserve">Seguro viagem</t>
  </si>
  <si>
    <t xml:space="preserve">Antes de embarcar</t>
  </si>
  <si>
    <t xml:space="preserve">Passaporte eletrônico (com chip) válido</t>
  </si>
  <si>
    <t xml:space="preserve">Já — a isenção de visto exige passaporte biométrico</t>
  </si>
  <si>
    <t xml:space="preserve">Chip / eSIM ou pocket wi-fi</t>
  </si>
  <si>
    <t xml:space="preserve">Semanas antes, ou eSIM na véspera</t>
  </si>
  <si>
    <t xml:space="preserve">Cartão internacional e algum iene em espécie</t>
  </si>
  <si>
    <t xml:space="preserve">Semanas antes</t>
  </si>
  <si>
    <t xml:space="preserve">Hotel da última noite perto do aeroporto</t>
  </si>
  <si>
    <t xml:space="preserve">Junto com o resto</t>
  </si>
  <si>
    <t xml:space="preserve">FAIXAS DE CUSTO PARA VOCÊ SE BASEAR  —  fontes públicas consultadas em ago/2026</t>
  </si>
  <si>
    <t xml:space="preserve">Estes NÃO são o orçamento de vocês — são faixas publicadas por guias de viagem, para servir de ponto de partida ao preencher a coluna Orçamento do Painel. Valores em iene; converta pela cotação do Painel.</t>
  </si>
  <si>
    <t xml:space="preserve">Item</t>
  </si>
  <si>
    <t xml:space="preserve">Faixa de referência</t>
  </si>
  <si>
    <t xml:space="preserve">Diária por pessoa, perfil intermediário</t>
  </si>
  <si>
    <t xml:space="preserve">¥20.000 a ¥35.000</t>
  </si>
  <si>
    <t xml:space="preserve">Tudo incluído: hotel, comida e transporte</t>
  </si>
  <si>
    <t xml:space="preserve">Diária por pessoa, perfil econômico</t>
  </si>
  <si>
    <t xml:space="preserve">¥10.000 a ¥15.000</t>
  </si>
  <si>
    <t xml:space="preserve">Hostel, konbini e transporte local</t>
  </si>
  <si>
    <t xml:space="preserve">Hotel business (quarto)</t>
  </si>
  <si>
    <t xml:space="preserve">¥6.000 a ¥12.000 / noite</t>
  </si>
  <si>
    <t xml:space="preserve">Padrão em Tóquio, Quioto e Osaka</t>
  </si>
  <si>
    <t xml:space="preserve">Hostel ou cápsula</t>
  </si>
  <si>
    <t xml:space="preserve">¥3.000 a ¥5.000 / noite</t>
  </si>
  <si>
    <t xml:space="preserve">Por pessoa</t>
  </si>
  <si>
    <t xml:space="preserve">Almoço (ramen, teishoku)</t>
  </si>
  <si>
    <t xml:space="preserve">¥1.000 a ¥1.500</t>
  </si>
  <si>
    <t xml:space="preserve">Jantar em izakaya</t>
  </si>
  <si>
    <t xml:space="preserve">¥2.500 a ¥4.500</t>
  </si>
  <si>
    <t xml:space="preserve">Transporte local por dia</t>
  </si>
  <si>
    <t xml:space="preserve">¥1.000 a ¥2.000</t>
  </si>
  <si>
    <t xml:space="preserve">Metrô e ônibus, por pessoa</t>
  </si>
  <si>
    <t xml:space="preserve">Shinkansen Tóquio ↔ Osaka (ida e volta)</t>
  </si>
  <si>
    <t xml:space="preserve">cerca de ¥29.000</t>
  </si>
  <si>
    <t xml:space="preserve">Bilhete avulso, por pessoa</t>
  </si>
  <si>
    <t xml:space="preserve">Tokyo Disney — 1-Day Passport</t>
  </si>
  <si>
    <t xml:space="preserve">¥7.900 a ¥10.900</t>
  </si>
  <si>
    <t xml:space="preserve">Preço varia conforme a lotação do dia</t>
  </si>
  <si>
    <t xml:space="preserve">Tokyo Disney — Premier Access</t>
  </si>
  <si>
    <t xml:space="preserve">¥1.500 a ¥2.000 por atração</t>
  </si>
  <si>
    <t xml:space="preserve">Opcional, comprado no app dentro do parque</t>
  </si>
  <si>
    <t xml:space="preserve">Entrada do Fuji Shibazakura</t>
  </si>
  <si>
    <t xml:space="preserve">¥1.000 a ¥1.300</t>
  </si>
  <si>
    <t xml:space="preserve">Mais caro na janela de pico do feriadão</t>
  </si>
  <si>
    <t xml:space="preserve">Ônibus + entrada do Shibazakura (combo)</t>
  </si>
  <si>
    <t xml:space="preserve">cerca de ¥3.000</t>
  </si>
  <si>
    <t xml:space="preserve">Shibazakura Liner, saindo de Kawaguchiko</t>
  </si>
  <si>
    <t xml:space="preserve">JR Pass 7 dias / 14 dias</t>
  </si>
  <si>
    <t xml:space="preserve">¥50.000 / ¥80.000</t>
  </si>
  <si>
    <t xml:space="preserve">Veja a dica abaixo: para este roteiro NÃO compensa</t>
  </si>
  <si>
    <t xml:space="preserve">DICAS PRÁTICAS</t>
  </si>
  <si>
    <t xml:space="preserve">VISTO</t>
  </si>
  <si>
    <t xml:space="preserve">Brasileiro está isento de visto de turismo para o Japão até 29/09/2029, para estadas de até 90 dias — mas exige passaporte eletrônico, com chip. A isenção não garante entrada: a imigração pode pedir comprovante de hospedagem, passagem de volta e recursos financeiros.</t>
  </si>
  <si>
    <t xml:space="preserve">JR PASS</t>
  </si>
  <si>
    <t xml:space="preserve">Para este roteiro, não compensa. O passe de 7 dias custa ¥50.000 e o trecho Tóquio→Quioto→Osaka→Tóquio avulso sai por volta de ¥29.000. Comprem bilhetes avulsos e, se quiserem, um passe regional do Kansai (a partir de ¥2.400) para os dias em Quioto e Osaka.</t>
  </si>
  <si>
    <t xml:space="preserve">IC CARD</t>
  </si>
  <si>
    <t xml:space="preserve">Peguem o Welcome Suica ou o Tourist Pasmo no balcão do aeroporto: sem depósito, valem 28 dias. Carreguem ¥2.000 a ¥3.000 em dinheiro e usem em trem, metrô, ônibus, armário e loja de conveniência.</t>
  </si>
  <si>
    <t xml:space="preserve">SHINKANSEN</t>
  </si>
  <si>
    <t xml:space="preserve">O IC card não cobre o shinkansen. Reservem pelo smartEX, que abre 1 mês antes, e vinculem o Suica para passar direto na catraca.</t>
  </si>
  <si>
    <t xml:space="preserve">DINHEIRO</t>
  </si>
  <si>
    <t xml:space="preserve">O Japão mistura cartão e dinheiro vivo. Levem iene em espécie. Caixas eletrônicos do 7-Eleven e do Lawson funcionam 24h e aceitam cartão estrangeiro.</t>
  </si>
  <si>
    <t xml:space="preserve">TAX-FREE</t>
  </si>
  <si>
    <t xml:space="preserve">Compras acima de ¥5.000 em loja credenciada saem sem imposto, apresentando o passaporte na hora do pagamento.</t>
  </si>
  <si>
    <t xml:space="preserve">DISNEY</t>
  </si>
  <si>
    <t xml:space="preserve">As bilheterias dos parques estão fechadas: só entra com e-ticket comprado antes, no site ou no app oficial. Datas boas esgotam em horas — coloque o despertador para 07/03/2027, 02h de Brasília.</t>
  </si>
  <si>
    <t xml:space="preserve">MONTE FUJI</t>
  </si>
  <si>
    <t xml:space="preserve">A montanha aparece ou não conforme o tempo. A melhor visibilidade é de novembro a fevereiro; em maio é loteria. Compensa deixar o dia flexível e escolher uma manhã de céu limpo.</t>
  </si>
  <si>
    <t xml:space="preserve">HORÁRIOS</t>
  </si>
  <si>
    <t xml:space="preserve">Templos de Quioto lotam entre 10h e 16h. Amanhecer e fim de tarde mudam completamente a experiência.</t>
  </si>
  <si>
    <t xml:space="preserve">JESTA</t>
  </si>
  <si>
    <t xml:space="preserve">O Japão estuda exigir uma autorização eletrônica prévia (JESTA) para países isentos de visto. Ainda não vale, mas vale checar no site da embaixada uns 3 meses antes de embarcar.</t>
  </si>
  <si>
    <t xml:space="preserve">FONTES CONSULTADAS</t>
  </si>
  <si>
    <t xml:space="preserve">japan-guide.com — roteiros sugeridos pelo Japão  —  https://www.japan-guide.com/e/e2400.html</t>
  </si>
  <si>
    <t xml:space="preserve">japan-guide.com — Fuji Shibazakura Festival  —  https://www.japan-guide.com/e/e6919.html</t>
  </si>
  <si>
    <t xml:space="preserve">JNTO (turismo oficial do Japão) — Rota Dourada  —  https://www.japan.travel/en/gc/itineraries/long-plan/</t>
  </si>
  <si>
    <t xml:space="preserve">Tokyo Disney Resort — compra oficial de ingressos  —  https://www.tokyodisneyresort.jp/en/ticket/purchase.html</t>
  </si>
  <si>
    <t xml:space="preserve">Rakuten Travel — feriados nacionais e Golden Week  —  https://travel.rakuten.com/contents/usa/en-us/guide/japanese-national-holidays-golden-week/</t>
  </si>
  <si>
    <t xml:space="preserve">Panrotas — isenção de visto Brasil-Japão prorrogada até 2029  —  https://www.panrotas.com.br/mercado/destinos/2026/07/brasil-e-japao-prorrogam-isencao-de-vistos-para-turistas-ate-2029_230682.html</t>
  </si>
  <si>
    <t xml:space="preserve">Tokyo Cheapo — bate-volta de Tóquio a Kawaguchiko  —  https://tokyocheapo.com/entertainment/tokyo-to-kawaguchiko-day-trip-guide/</t>
  </si>
  <si>
    <t xml:space="preserve">Wise — histórico da cotação iene / real  —  https://wise.com/us/currency-converter/jpy-to-brl-rate/history</t>
  </si>
  <si>
    <t xml:space="preserve">Pesquisa feita em 15/08/2026. Preços, datas de festival e regras de visto mudam — reconfirme tudo cerca de 3 meses antes de embarcar.</t>
  </si>
  <si>
    <t xml:space="preserve">GASTOS DIA A DIA</t>
  </si>
  <si>
    <t xml:space="preserve">As datas saem da ida e da volta informadas no Painel. Tudo aqui é calculado automaticamente.</t>
  </si>
  <si>
    <t xml:space="preserve">Total do dia (R$)</t>
  </si>
  <si>
    <t xml:space="preserve">Acumulado (R$)</t>
  </si>
  <si>
    <t xml:space="preserve">Demais categorias</t>
  </si>
  <si>
    <t xml:space="preserve">LISTAS DOS MENUS SUSPENSOS</t>
  </si>
  <si>
    <t xml:space="preserve">Edite, acrescente ou renomeie itens aqui — os menus e as tabelas do Painel acompanham sozinhos.</t>
  </si>
  <si>
    <t xml:space="preserve">CATEGORIAS</t>
  </si>
  <si>
    <t xml:space="preserve">FORMAS DE PAGAMENTO</t>
  </si>
  <si>
    <t xml:space="preserve">STATUS DO GASTO</t>
  </si>
  <si>
    <t xml:space="preserve">QUEM PAGOU</t>
  </si>
  <si>
    <t xml:space="preserve">CIDADES / LOCAIS</t>
  </si>
  <si>
    <t xml:space="preserve">STATUS DA RESERVA</t>
  </si>
  <si>
    <t xml:space="preserve">Hospedagem</t>
  </si>
  <si>
    <t xml:space="preserve">Dinheiro (real)</t>
  </si>
  <si>
    <t xml:space="preserve">Pendente</t>
  </si>
  <si>
    <t xml:space="preserve">Viajante 2</t>
  </si>
  <si>
    <t xml:space="preserve">Pesquisando</t>
  </si>
  <si>
    <t xml:space="preserve">Transporte no Japão (trens/shinkansen)</t>
  </si>
  <si>
    <t xml:space="preserve">Cartão de crédito</t>
  </si>
  <si>
    <t xml:space="preserve">Parcelado</t>
  </si>
  <si>
    <t xml:space="preserve">Reservado</t>
  </si>
  <si>
    <t xml:space="preserve">Transporte local (metrô/ônibus/táxi)</t>
  </si>
  <si>
    <t xml:space="preserve">Cartão de débito</t>
  </si>
  <si>
    <t xml:space="preserve">Reembolsado</t>
  </si>
  <si>
    <t xml:space="preserve">Cartão internacional (Wise/Nomad)</t>
  </si>
  <si>
    <t xml:space="preserve">Kawaguchiko / Monte Fuji</t>
  </si>
  <si>
    <t xml:space="preserve">Passeios e Ingressos</t>
  </si>
  <si>
    <t xml:space="preserve">IC Card (Suica/Pasmo)</t>
  </si>
  <si>
    <t xml:space="preserve">Tokyo Disney Resort</t>
  </si>
  <si>
    <t xml:space="preserve">PIX</t>
  </si>
  <si>
    <t xml:space="preserve">Em trânsito</t>
  </si>
  <si>
    <t xml:space="preserve">Compras e Souvenirs</t>
  </si>
  <si>
    <t xml:space="preserve">Transferência / Boleto</t>
  </si>
  <si>
    <t xml:space="preserve">Seguro Viagem</t>
  </si>
  <si>
    <t xml:space="preserve">Outro</t>
  </si>
  <si>
    <t xml:space="preserve">Chip / Internet</t>
  </si>
  <si>
    <t xml:space="preserve">Documentos (passaporte etc.)</t>
  </si>
  <si>
    <t xml:space="preserve">Bagagem e Equipamentos</t>
  </si>
  <si>
    <t xml:space="preserve">Outros</t>
  </si>
  <si>
    <t xml:space="preserve">Não deixe linha em branco no meio de uma lista: o menu suspenso para na primeira lacuna.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</si>
</sst>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.0000"/>
    <numFmt numFmtId="167" formatCode="#,##0;\-#,##0;\-"/>
    <numFmt numFmtId="168" formatCode="&quot;R$ &quot;#,##0.00;&quot;-R$ &quot;#,##0.00;\-"/>
    <numFmt numFmtId="169" formatCode="0.0%"/>
    <numFmt numFmtId="170" formatCode="#,##0.00;\-#,##0.00;\-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C9CED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10"/>
      <color rgb="FF1C2541"/>
      <name val="Arial"/>
      <family val="0"/>
      <charset val="1"/>
    </font>
    <font>
      <sz val="8"/>
      <color rgb="FF6B7280"/>
      <name val="Arial"/>
      <family val="0"/>
      <charset val="1"/>
    </font>
    <font>
      <i val="true"/>
      <sz val="9"/>
      <color rgb="FFC1121F"/>
      <name val="Arial"/>
      <family val="0"/>
      <charset val="1"/>
    </font>
    <font>
      <b val="true"/>
      <sz val="8"/>
      <color rgb="FF6B7280"/>
      <name val="Arial"/>
      <family val="0"/>
      <charset val="1"/>
    </font>
    <font>
      <b val="true"/>
      <sz val="15"/>
      <color rgb="FF1C2541"/>
      <name val="Arial"/>
      <family val="0"/>
      <charset val="1"/>
    </font>
    <font>
      <b val="true"/>
      <sz val="15"/>
      <color rgb="FF1B7F5A"/>
      <name val="Arial"/>
      <family val="0"/>
      <charset val="1"/>
    </font>
    <font>
      <b val="true"/>
      <sz val="15"/>
      <color rgb="FFB26B00"/>
      <name val="Arial"/>
      <family val="0"/>
      <charset val="1"/>
    </font>
    <font>
      <b val="true"/>
      <sz val="15"/>
      <color rgb="FF2A5DB0"/>
      <name val="Arial"/>
      <family val="0"/>
      <charset val="1"/>
    </font>
    <font>
      <b val="true"/>
      <sz val="15"/>
      <color rgb="FF6B7280"/>
      <name val="Arial"/>
      <family val="0"/>
      <charset val="1"/>
    </font>
    <font>
      <b val="true"/>
      <sz val="15"/>
      <color rgb="FFC1121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C2541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9"/>
      <color rgb="FFC1121F"/>
      <name val="Arial"/>
      <family val="0"/>
      <charset val="1"/>
    </font>
    <font>
      <i val="true"/>
      <sz val="9"/>
      <color rgb="FFB26B00"/>
      <name val="Arial"/>
      <family val="0"/>
      <charset val="1"/>
    </font>
    <font>
      <i val="true"/>
      <sz val="10"/>
      <color rgb="FFC1121F"/>
      <name val="Arial"/>
      <family val="0"/>
      <charset val="1"/>
    </font>
    <font>
      <b val="true"/>
      <i val="true"/>
      <sz val="10"/>
      <color rgb="FFC1121F"/>
      <name val="Arial"/>
      <family val="0"/>
      <charset val="1"/>
    </font>
    <font>
      <sz val="9"/>
      <color rgb="FFC1121F"/>
      <name val="Arial"/>
      <family val="0"/>
      <charset val="1"/>
    </font>
    <font>
      <b val="true"/>
      <sz val="9"/>
      <color rgb="FF1C2541"/>
      <name val="Arial"/>
      <family val="0"/>
      <charset val="1"/>
    </font>
    <font>
      <sz val="9"/>
      <color rgb="FF1C2541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2A5DB0"/>
      <name val="Arial"/>
      <family val="0"/>
      <charset val="1"/>
    </font>
    <font>
      <b val="true"/>
      <sz val="9"/>
      <color rgb="FF1B7F5A"/>
      <name val="Arial"/>
      <family val="0"/>
      <charset val="1"/>
    </font>
    <font>
      <u val="single"/>
      <sz val="8"/>
      <color rgb="FF2A5DB0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C1121F"/>
        <bgColor rgb="FFFF0000"/>
      </patternFill>
    </fill>
    <fill>
      <patternFill patternType="solid">
        <fgColor rgb="FF1C2541"/>
        <bgColor rgb="FF003366"/>
      </patternFill>
    </fill>
    <fill>
      <patternFill patternType="solid">
        <fgColor rgb="FFFFF6D6"/>
        <bgColor rgb="FFFBEBD2"/>
      </patternFill>
    </fill>
    <fill>
      <patternFill patternType="solid">
        <fgColor rgb="FFFAFBFD"/>
        <bgColor rgb="FFFFFFFF"/>
      </patternFill>
    </fill>
    <fill>
      <patternFill patternType="solid">
        <fgColor rgb="FFEEF1F6"/>
        <bgColor rgb="FFECEDF0"/>
      </patternFill>
    </fill>
    <fill>
      <patternFill patternType="solid">
        <fgColor rgb="FFF3F5F9"/>
        <bgColor rgb="FFEEF1F6"/>
      </patternFill>
    </fill>
    <fill>
      <patternFill patternType="solid">
        <fgColor rgb="FFDDF0E5"/>
        <bgColor rgb="FFE1E9F7"/>
      </patternFill>
    </fill>
    <fill>
      <patternFill patternType="solid">
        <fgColor rgb="FFFBEBD2"/>
        <bgColor rgb="FFFBE3E4"/>
      </patternFill>
    </fill>
    <fill>
      <patternFill patternType="solid">
        <fgColor rgb="FFE1E9F7"/>
        <bgColor rgb="FFECEDF0"/>
      </patternFill>
    </fill>
    <fill>
      <patternFill patternType="solid">
        <fgColor rgb="FFECEDF0"/>
        <bgColor rgb="FFEEF1F6"/>
      </patternFill>
    </fill>
    <fill>
      <patternFill patternType="solid">
        <fgColor rgb="FF3B4A6B"/>
        <bgColor rgb="FF2A5DB0"/>
      </patternFill>
    </fill>
    <fill>
      <patternFill patternType="solid">
        <fgColor rgb="FFFFFFFF"/>
        <bgColor rgb="FFFAFBFD"/>
      </patternFill>
    </fill>
    <fill>
      <patternFill patternType="solid">
        <fgColor rgb="FFFBE3E4"/>
        <bgColor rgb="FFFBEBD2"/>
      </patternFill>
    </fill>
    <fill>
      <patternFill patternType="solid">
        <fgColor rgb="FFB26B00"/>
        <bgColor rgb="FFFF6600"/>
      </patternFill>
    </fill>
    <fill>
      <patternFill patternType="solid">
        <fgColor rgb="FF2A5DB0"/>
        <bgColor rgb="FF3366FF"/>
      </patternFill>
    </fill>
    <fill>
      <patternFill patternType="solid">
        <fgColor rgb="FF1B7F5A"/>
        <bgColor rgb="FF008080"/>
      </patternFill>
    </fill>
    <fill>
      <patternFill patternType="solid">
        <fgColor rgb="FF6B7280"/>
        <bgColor rgb="FF808080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DCE0E8"/>
      </left>
      <right/>
      <top style="thin">
        <color rgb="FFDCE0E8"/>
      </top>
      <bottom/>
      <diagonal/>
    </border>
    <border diagonalUp="false" diagonalDown="false">
      <left/>
      <right style="thin">
        <color rgb="FFDCE0E8"/>
      </right>
      <top style="thin">
        <color rgb="FFDCE0E8"/>
      </top>
      <bottom/>
      <diagonal/>
    </border>
    <border diagonalUp="false" diagonalDown="false">
      <left/>
      <right/>
      <top style="thin">
        <color rgb="FFDCE0E8"/>
      </top>
      <bottom/>
      <diagonal/>
    </border>
    <border diagonalUp="false" diagonalDown="false">
      <left style="thin">
        <color rgb="FFDCE0E8"/>
      </left>
      <right/>
      <top/>
      <bottom/>
      <diagonal/>
    </border>
    <border diagonalUp="false" diagonalDown="false">
      <left/>
      <right style="thin">
        <color rgb="FFDCE0E8"/>
      </right>
      <top/>
      <bottom/>
      <diagonal/>
    </border>
    <border diagonalUp="false" diagonalDown="false">
      <left style="thin">
        <color rgb="FFDCE0E8"/>
      </left>
      <right/>
      <top/>
      <bottom style="thin">
        <color rgb="FFDCE0E8"/>
      </bottom>
      <diagonal/>
    </border>
    <border diagonalUp="false" diagonalDown="false">
      <left/>
      <right/>
      <top/>
      <bottom style="thin">
        <color rgb="FFDCE0E8"/>
      </bottom>
      <diagonal/>
    </border>
    <border diagonalUp="false" diagonalDown="false">
      <left/>
      <right style="thin">
        <color rgb="FFDCE0E8"/>
      </right>
      <top/>
      <bottom style="thin">
        <color rgb="FFDCE0E8"/>
      </bottom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1C2541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1B7F5A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B26B00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2A5DB0"/>
      </top>
      <bottom/>
      <diagonal/>
    </border>
    <border diagonalUp="false" diagonalDown="false">
      <left style="thin">
        <color rgb="FFDCE0E8"/>
      </left>
      <right style="thin">
        <color rgb="FFDCE0E8"/>
      </right>
      <top/>
      <bottom style="thin">
        <color rgb="FFDCE0E8"/>
      </bottom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6B7280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C1121F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thin">
        <color rgb="FFDCE0E8"/>
      </top>
      <bottom/>
      <diagonal/>
    </border>
    <border diagonalUp="false" diagonalDown="false">
      <left style="thin">
        <color rgb="FFDCE0E8"/>
      </left>
      <right style="thin">
        <color rgb="FFDCE0E8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9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1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11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1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1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1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6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5" borderId="1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3" fillId="5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14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0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4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1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1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1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6" fillId="1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4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14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1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6" fillId="1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1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4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1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1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9" fillId="5" borderId="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0" fillId="5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0" fillId="5" borderId="5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9" fillId="13" borderId="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0" fillId="13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0" fillId="13" borderId="5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9" fillId="13" borderId="6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0" fillId="13" borderId="7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0" fillId="13" borderId="8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9" fillId="5" borderId="6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0" fillId="5" borderId="7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0" fillId="5" borderId="8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6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1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1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3" fillId="5" borderId="1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30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3" fillId="13" borderId="4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33" fillId="5" borderId="4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33" fillId="13" borderId="6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5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13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5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13" borderId="1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21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1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1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1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13" borderId="1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name val="Arial"/>
        <charset val="1"/>
        <family val="0"/>
        <b val="1"/>
        <color rgb="FFC1121F"/>
        <sz val="10"/>
      </font>
    </dxf>
    <dxf>
      <fill>
        <patternFill patternType="solid">
          <fgColor rgb="FF3B4A6B"/>
          <bgColor rgb="FF000000"/>
        </patternFill>
      </fill>
    </dxf>
    <dxf>
      <fill>
        <patternFill patternType="solid">
          <fgColor rgb="FFFAFBFD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6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2541"/>
          <bgColor rgb="FF000000"/>
        </patternFill>
      </fill>
    </dxf>
    <dxf>
      <fill>
        <patternFill patternType="solid">
          <fgColor rgb="FFC1121F"/>
          <bgColor rgb="FF000000"/>
        </patternFill>
      </fill>
    </dxf>
    <dxf>
      <fill>
        <patternFill patternType="solid">
          <fgColor rgb="FFDDF0E5"/>
          <bgColor rgb="FF000000"/>
        </patternFill>
      </fill>
    </dxf>
    <dxf>
      <fill>
        <patternFill patternType="solid">
          <fgColor rgb="FF1B7F5A"/>
          <bgColor rgb="FF000000"/>
        </patternFill>
      </fill>
    </dxf>
    <dxf>
      <fill>
        <patternFill patternType="solid">
          <fgColor rgb="FFEEF1F6"/>
          <bgColor rgb="FF000000"/>
        </patternFill>
      </fill>
    </dxf>
    <dxf>
      <fill>
        <patternFill patternType="solid">
          <fgColor rgb="FFB26B00"/>
          <bgColor rgb="FF000000"/>
        </patternFill>
      </fill>
    </dxf>
    <dxf>
      <font>
        <name val="Arial"/>
        <charset val="1"/>
        <family val="0"/>
        <b val="1"/>
        <color rgb="FF1B7F5A"/>
        <sz val="10"/>
      </font>
      <fill>
        <patternFill>
          <bgColor rgb="FFDDF0E5"/>
        </patternFill>
      </fill>
    </dxf>
    <dxf>
      <font>
        <name val="Arial"/>
        <charset val="1"/>
        <family val="0"/>
        <b val="1"/>
        <color rgb="FFB26B00"/>
        <sz val="10"/>
      </font>
      <fill>
        <patternFill>
          <bgColor rgb="FFFBEBD2"/>
        </patternFill>
      </fill>
    </dxf>
    <dxf>
      <font>
        <name val="Arial"/>
        <charset val="1"/>
        <family val="0"/>
        <b val="1"/>
        <color rgb="FF2A5DB0"/>
        <sz val="10"/>
      </font>
      <fill>
        <patternFill>
          <bgColor rgb="FFE1E9F7"/>
        </patternFill>
      </fill>
    </dxf>
    <dxf>
      <font>
        <name val="Arial"/>
        <charset val="1"/>
        <family val="0"/>
        <b val="1"/>
        <color rgb="FF6B7280"/>
        <sz val="10"/>
      </font>
      <fill>
        <patternFill>
          <bgColor rgb="FFECED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B00"/>
      <rgbColor rgb="FF800080"/>
      <rgbColor rgb="FF1B7F5A"/>
      <rgbColor rgb="FFDCE0E8"/>
      <rgbColor rgb="FF808080"/>
      <rgbColor rgb="FF9999FF"/>
      <rgbColor rgb="FF993366"/>
      <rgbColor rgb="FFFFF6D6"/>
      <rgbColor rgb="FFE1E9F7"/>
      <rgbColor rgb="FF660066"/>
      <rgbColor rgb="FFFF8080"/>
      <rgbColor rgb="FF2A5DB0"/>
      <rgbColor rgb="FFC9CE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6"/>
      <rgbColor rgb="FFDDF0E5"/>
      <rgbColor rgb="FFFBEBD2"/>
      <rgbColor rgb="FFECEDF0"/>
      <rgbColor rgb="FFF3F5F9"/>
      <rgbColor rgb="FFFAFBFD"/>
      <rgbColor rgb="FFFBE3E4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C1121F"/>
      <rgbColor rgb="FF993366"/>
      <rgbColor rgb="FF3B4A6B"/>
      <rgbColor rgb="FF1C25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japan-guide.com/e/e2400.html" TargetMode="External"/><Relationship Id="rId2" Type="http://schemas.openxmlformats.org/officeDocument/2006/relationships/hyperlink" Target="https://www.japan-guide.com/e/e6919.html" TargetMode="External"/><Relationship Id="rId3" Type="http://schemas.openxmlformats.org/officeDocument/2006/relationships/hyperlink" Target="https://www.japan.travel/en/gc/itineraries/long-plan/" TargetMode="External"/><Relationship Id="rId4" Type="http://schemas.openxmlformats.org/officeDocument/2006/relationships/hyperlink" Target="https://www.tokyodisneyresort.jp/en/ticket/purchase.html" TargetMode="External"/><Relationship Id="rId5" Type="http://schemas.openxmlformats.org/officeDocument/2006/relationships/hyperlink" Target="https://travel.rakuten.com/contents/usa/en-us/guide/japanese-national-holidays-golden-week/" TargetMode="External"/><Relationship Id="rId6" Type="http://schemas.openxmlformats.org/officeDocument/2006/relationships/hyperlink" Target="https://www.panrotas.com.br/mercado/destinos/2026/07/brasil-e-japao-prorrogam-isencao-de-vistos-para-turistas-ate-2029_230682.html" TargetMode="External"/><Relationship Id="rId7" Type="http://schemas.openxmlformats.org/officeDocument/2006/relationships/hyperlink" Target="https://tokyocheapo.com/entertainment/tokyo-to-kawaguchiko-day-trip-guide/" TargetMode="External"/><Relationship Id="rId8" Type="http://schemas.openxmlformats.org/officeDocument/2006/relationships/hyperlink" Target="https://wise.com/us/currency-converter/jpy-to-brl-rate/history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541"/>
    <pageSetUpPr fitToPage="true"/>
  </sheetPr>
  <dimension ref="B1:I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2"/>
    <col collapsed="false" customWidth="true" hidden="false" outlineLevel="0" max="6" min="3" style="0" width="15"/>
    <col collapsed="false" customWidth="true" hidden="false" outlineLevel="0" max="7" min="7" style="0" width="22"/>
    <col collapsed="false" customWidth="true" hidden="false" outlineLevel="0" max="9" min="8" style="0" width="16"/>
    <col collapsed="false" customWidth="true" hidden="false" outlineLevel="0" max="10" min="10" style="0" width="2.5"/>
  </cols>
  <sheetData>
    <row r="1" customFormat="false" ht="6" hidden="false" customHeight="true" outlineLevel="0" collapsed="false"/>
    <row r="2" customFormat="false" ht="6.75" hidden="false" customHeight="true" outlineLevel="0" collapsed="false">
      <c r="B2" s="1"/>
      <c r="C2" s="1"/>
      <c r="D2" s="1"/>
      <c r="E2" s="1"/>
      <c r="F2" s="1"/>
      <c r="G2" s="1"/>
      <c r="H2" s="1"/>
      <c r="I2" s="1"/>
    </row>
    <row r="3" customFormat="false" ht="36" hidden="false" customHeight="true" outlineLevel="0" collapsed="false">
      <c r="B3" s="2" t="s">
        <v>0</v>
      </c>
      <c r="C3" s="2"/>
      <c r="D3" s="2"/>
      <c r="E3" s="2"/>
      <c r="F3" s="2"/>
      <c r="G3" s="2"/>
      <c r="H3" s="2"/>
      <c r="I3" s="2"/>
    </row>
    <row r="4" customFormat="false" ht="19.5" hidden="false" customHeight="true" outlineLevel="0" collapsed="false">
      <c r="B4" s="3" t="s">
        <v>1</v>
      </c>
      <c r="C4" s="3"/>
      <c r="D4" s="3"/>
      <c r="E4" s="3"/>
      <c r="F4" s="3"/>
      <c r="G4" s="3"/>
      <c r="H4" s="3"/>
      <c r="I4" s="3"/>
    </row>
    <row r="5" customFormat="false" ht="12" hidden="false" customHeight="true" outlineLevel="0" collapsed="false"/>
    <row r="6" customFormat="false" ht="19.5" hidden="false" customHeight="true" outlineLevel="0" collapsed="false">
      <c r="B6" s="4" t="s">
        <v>2</v>
      </c>
      <c r="C6" s="4"/>
      <c r="E6" s="5" t="s">
        <v>3</v>
      </c>
      <c r="F6" s="5"/>
      <c r="G6" s="5"/>
    </row>
    <row r="7" customFormat="false" ht="18.75" hidden="false" customHeight="true" outlineLevel="0" collapsed="false">
      <c r="B7" s="6" t="s">
        <v>4</v>
      </c>
      <c r="C7" s="7" t="s">
        <v>5</v>
      </c>
      <c r="E7" s="8" t="s">
        <v>6</v>
      </c>
      <c r="F7" s="9" t="s">
        <v>7</v>
      </c>
      <c r="G7" s="10" t="s">
        <v>8</v>
      </c>
    </row>
    <row r="8" customFormat="false" ht="18.75" hidden="false" customHeight="true" outlineLevel="0" collapsed="false">
      <c r="B8" s="11" t="s">
        <v>9</v>
      </c>
      <c r="C8" s="12" t="n">
        <v>46507</v>
      </c>
      <c r="E8" s="13" t="s">
        <v>10</v>
      </c>
      <c r="F8" s="14" t="n">
        <v>0.0325</v>
      </c>
      <c r="G8" s="15" t="s">
        <v>11</v>
      </c>
    </row>
    <row r="9" customFormat="false" ht="18.75" hidden="false" customHeight="true" outlineLevel="0" collapsed="false">
      <c r="B9" s="11" t="s">
        <v>12</v>
      </c>
      <c r="C9" s="12" t="n">
        <v>46523</v>
      </c>
      <c r="E9" s="13" t="s">
        <v>13</v>
      </c>
      <c r="F9" s="14" t="n">
        <v>1</v>
      </c>
      <c r="G9" s="15" t="s">
        <v>14</v>
      </c>
    </row>
    <row r="10" customFormat="false" ht="18.75" hidden="false" customHeight="true" outlineLevel="0" collapsed="false">
      <c r="B10" s="11" t="s">
        <v>15</v>
      </c>
      <c r="C10" s="16" t="n">
        <v>2</v>
      </c>
      <c r="E10" s="17" t="s">
        <v>16</v>
      </c>
      <c r="F10" s="18" t="n">
        <v>5.19</v>
      </c>
      <c r="G10" s="19" t="s">
        <v>17</v>
      </c>
    </row>
    <row r="11" customFormat="false" ht="18.75" hidden="false" customHeight="true" outlineLevel="0" collapsed="false">
      <c r="B11" s="11" t="s">
        <v>18</v>
      </c>
      <c r="C11" s="20" t="n">
        <f aca="false">IFERROR($C$9-$C$8+1,"")</f>
        <v>17</v>
      </c>
      <c r="E11" s="21" t="s">
        <v>19</v>
      </c>
      <c r="F11" s="21"/>
      <c r="G11" s="21"/>
    </row>
    <row r="12" customFormat="false" ht="18.75" hidden="false" customHeight="true" outlineLevel="0" collapsed="false">
      <c r="B12" s="22" t="s">
        <v>20</v>
      </c>
      <c r="C12" s="23" t="n">
        <f aca="false">SUM($C$25:$C$37)</f>
        <v>0</v>
      </c>
      <c r="E12" s="21"/>
      <c r="F12" s="21"/>
      <c r="G12" s="21"/>
    </row>
    <row r="13" customFormat="false" ht="12" hidden="false" customHeight="true" outlineLevel="0" collapsed="false"/>
    <row r="14" customFormat="false" ht="19.5" hidden="false" customHeight="true" outlineLevel="0" collapsed="false">
      <c r="B14" s="4" t="s">
        <v>21</v>
      </c>
      <c r="C14" s="4"/>
      <c r="D14" s="4"/>
      <c r="E14" s="4"/>
      <c r="F14" s="4"/>
      <c r="G14" s="4"/>
      <c r="H14" s="4"/>
      <c r="I14" s="4"/>
    </row>
    <row r="16" customFormat="false" ht="19.5" hidden="false" customHeight="true" outlineLevel="0" collapsed="false">
      <c r="B16" s="24" t="s">
        <v>22</v>
      </c>
      <c r="C16" s="24"/>
      <c r="D16" s="25" t="s">
        <v>23</v>
      </c>
      <c r="E16" s="25"/>
      <c r="F16" s="26" t="s">
        <v>24</v>
      </c>
      <c r="G16" s="26"/>
      <c r="H16" s="27" t="s">
        <v>25</v>
      </c>
      <c r="I16" s="27"/>
    </row>
    <row r="17" customFormat="false" ht="30" hidden="false" customHeight="true" outlineLevel="0" collapsed="false">
      <c r="B17" s="28" t="n">
        <f aca="false">SUMIFS(Gastos!$J$7:$J$400,Gastos!$G$7:$G$400,"&lt;&gt;Reembolsado")</f>
        <v>8322.93</v>
      </c>
      <c r="C17" s="28"/>
      <c r="D17" s="29" t="n">
        <f aca="false">SUMIFS(Gastos!$J$7:$J$400,Gastos!$G$7:$G$400,"Pago")</f>
        <v>8322.93</v>
      </c>
      <c r="E17" s="29"/>
      <c r="F17" s="30" t="n">
        <f aca="false">SUMIFS(Gastos!$J$7:$J$400,Gastos!$G$7:$G$400,"Pendente")+SUMIFS(Gastos!$J$7:$J$400,Gastos!$G$7:$G$400,"Parcelado")</f>
        <v>0</v>
      </c>
      <c r="G17" s="30"/>
      <c r="H17" s="31" t="str">
        <f aca="false">IF($C$12=0,"",$C$12-$B$17)</f>
        <v/>
      </c>
      <c r="I17" s="31"/>
    </row>
    <row r="18" customFormat="false" ht="7.5" hidden="false" customHeight="true" outlineLevel="0" collapsed="false"/>
    <row r="19" customFormat="false" ht="19.5" hidden="false" customHeight="true" outlineLevel="0" collapsed="false">
      <c r="B19" s="24" t="s">
        <v>26</v>
      </c>
      <c r="C19" s="24"/>
      <c r="D19" s="24" t="s">
        <v>27</v>
      </c>
      <c r="E19" s="24"/>
      <c r="F19" s="32" t="s">
        <v>28</v>
      </c>
      <c r="G19" s="32"/>
      <c r="H19" s="33" t="s">
        <v>29</v>
      </c>
      <c r="I19" s="33"/>
    </row>
    <row r="20" customFormat="false" ht="30" hidden="false" customHeight="true" outlineLevel="0" collapsed="false">
      <c r="B20" s="28" t="n">
        <f aca="false">IFERROR($B$17/$C$10,0)</f>
        <v>4161.465</v>
      </c>
      <c r="C20" s="28"/>
      <c r="D20" s="28" t="n">
        <f aca="false">IFERROR($B$17/$C$11,0)</f>
        <v>489.584117647059</v>
      </c>
      <c r="E20" s="28"/>
      <c r="F20" s="34" t="n">
        <f aca="false">SUMIFS(Gastos!$J$7:$J$400,Gastos!$A$7:$A$400,"&lt;"&amp;$C$8)</f>
        <v>0</v>
      </c>
      <c r="G20" s="34"/>
      <c r="H20" s="35" t="n">
        <f aca="false">SUMIFS(Gastos!$J$7:$J$400,Gastos!$A$7:$A$400,"&gt;="&amp;$C$8)</f>
        <v>104</v>
      </c>
      <c r="I20" s="35"/>
    </row>
    <row r="21" customFormat="false" ht="13.5" hidden="false" customHeight="true" outlineLevel="0" collapsed="false"/>
    <row r="23" customFormat="false" ht="19.5" hidden="false" customHeight="true" outlineLevel="0" collapsed="false">
      <c r="B23" s="4" t="s">
        <v>30</v>
      </c>
      <c r="C23" s="4"/>
      <c r="D23" s="4"/>
      <c r="E23" s="4"/>
      <c r="F23" s="4"/>
      <c r="G23" s="4"/>
      <c r="H23" s="4"/>
      <c r="I23" s="4"/>
    </row>
    <row r="24" customFormat="false" ht="27.75" hidden="false" customHeight="true" outlineLevel="0" collapsed="false">
      <c r="B24" s="36" t="s">
        <v>31</v>
      </c>
      <c r="C24" s="37" t="s">
        <v>32</v>
      </c>
      <c r="D24" s="37" t="s">
        <v>33</v>
      </c>
      <c r="E24" s="37" t="s">
        <v>34</v>
      </c>
      <c r="F24" s="37" t="s">
        <v>35</v>
      </c>
      <c r="G24" s="37" t="s">
        <v>36</v>
      </c>
      <c r="H24" s="37" t="s">
        <v>37</v>
      </c>
      <c r="I24" s="38" t="s">
        <v>38</v>
      </c>
    </row>
    <row r="25" customFormat="false" ht="18" hidden="false" customHeight="true" outlineLevel="0" collapsed="false">
      <c r="B25" s="39" t="str">
        <f aca="false">IF(Listas!$B$7="","",Listas!$B$7)</f>
        <v>Passagens Aéreas</v>
      </c>
      <c r="C25" s="40"/>
      <c r="D25" s="41" t="n">
        <f aca="false">SUMIFS(Gastos!$J$7:$J$400,Gastos!$B$7:$B$400,$B25,Gastos!$G$7:$G$400,"&lt;&gt;Reembolsado")</f>
        <v>8218.93</v>
      </c>
      <c r="E25" s="41" t="n">
        <f aca="false">SUMIFS(Gastos!$J$7:$J$400,Gastos!$B$7:$B$400,$B25,Gastos!$G$7:$G$400,"Pago")</f>
        <v>8218.93</v>
      </c>
      <c r="F25" s="41" t="n">
        <f aca="false">$D25-$E25</f>
        <v>0</v>
      </c>
      <c r="G25" s="42" t="n">
        <f aca="false">IFERROR($D25/$D$38,0)</f>
        <v>0.987504400493576</v>
      </c>
      <c r="H25" s="41" t="str">
        <f aca="false">IF($C25="","",$C25-$D25)</f>
        <v/>
      </c>
      <c r="I25" s="43" t="n">
        <f aca="false">COUNTIFS(Gastos!$B$7:$B$400,$B25)</f>
        <v>1</v>
      </c>
    </row>
    <row r="26" customFormat="false" ht="18" hidden="false" customHeight="true" outlineLevel="0" collapsed="false">
      <c r="B26" s="44" t="str">
        <f aca="false">IF(Listas!$B$8="","",Listas!$B$8)</f>
        <v>Hospedagem</v>
      </c>
      <c r="C26" s="40"/>
      <c r="D26" s="45" t="n">
        <f aca="false">SUMIFS(Gastos!$J$7:$J$400,Gastos!$B$7:$B$400,$B26,Gastos!$G$7:$G$400,"&lt;&gt;Reembolsado")</f>
        <v>0</v>
      </c>
      <c r="E26" s="45" t="n">
        <f aca="false">SUMIFS(Gastos!$J$7:$J$400,Gastos!$B$7:$B$400,$B26,Gastos!$G$7:$G$400,"Pago")</f>
        <v>0</v>
      </c>
      <c r="F26" s="45" t="n">
        <f aca="false">$D26-$E26</f>
        <v>0</v>
      </c>
      <c r="G26" s="46" t="n">
        <f aca="false">IFERROR($D26/$D$38,0)</f>
        <v>0</v>
      </c>
      <c r="H26" s="45" t="str">
        <f aca="false">IF($C26="","",$C26-$D26)</f>
        <v/>
      </c>
      <c r="I26" s="47" t="n">
        <f aca="false">COUNTIFS(Gastos!$B$7:$B$400,$B26)</f>
        <v>0</v>
      </c>
    </row>
    <row r="27" customFormat="false" ht="18" hidden="false" customHeight="true" outlineLevel="0" collapsed="false">
      <c r="B27" s="39" t="str">
        <f aca="false">IF(Listas!$B$9="","",Listas!$B$9)</f>
        <v>Transporte no Japão (trens/shinkansen)</v>
      </c>
      <c r="C27" s="40"/>
      <c r="D27" s="41" t="n">
        <f aca="false">SUMIFS(Gastos!$J$7:$J$400,Gastos!$B$7:$B$400,$B27,Gastos!$G$7:$G$400,"&lt;&gt;Reembolsado")</f>
        <v>0</v>
      </c>
      <c r="E27" s="41" t="n">
        <f aca="false">SUMIFS(Gastos!$J$7:$J$400,Gastos!$B$7:$B$400,$B27,Gastos!$G$7:$G$400,"Pago")</f>
        <v>0</v>
      </c>
      <c r="F27" s="41" t="n">
        <f aca="false">$D27-$E27</f>
        <v>0</v>
      </c>
      <c r="G27" s="42" t="n">
        <f aca="false">IFERROR($D27/$D$38,0)</f>
        <v>0</v>
      </c>
      <c r="H27" s="41" t="str">
        <f aca="false">IF($C27="","",$C27-$D27)</f>
        <v/>
      </c>
      <c r="I27" s="43" t="n">
        <f aca="false">COUNTIFS(Gastos!$B$7:$B$400,$B27)</f>
        <v>0</v>
      </c>
    </row>
    <row r="28" customFormat="false" ht="18" hidden="false" customHeight="true" outlineLevel="0" collapsed="false">
      <c r="B28" s="44" t="str">
        <f aca="false">IF(Listas!$B$10="","",Listas!$B$10)</f>
        <v>Transporte local (metrô/ônibus/táxi)</v>
      </c>
      <c r="C28" s="40"/>
      <c r="D28" s="45" t="n">
        <f aca="false">SUMIFS(Gastos!$J$7:$J$400,Gastos!$B$7:$B$400,$B28,Gastos!$G$7:$G$400,"&lt;&gt;Reembolsado")</f>
        <v>0</v>
      </c>
      <c r="E28" s="45" t="n">
        <f aca="false">SUMIFS(Gastos!$J$7:$J$400,Gastos!$B$7:$B$400,$B28,Gastos!$G$7:$G$400,"Pago")</f>
        <v>0</v>
      </c>
      <c r="F28" s="45" t="n">
        <f aca="false">$D28-$E28</f>
        <v>0</v>
      </c>
      <c r="G28" s="46" t="n">
        <f aca="false">IFERROR($D28/$D$38,0)</f>
        <v>0</v>
      </c>
      <c r="H28" s="45" t="str">
        <f aca="false">IF($C28="","",$C28-$D28)</f>
        <v/>
      </c>
      <c r="I28" s="47" t="n">
        <f aca="false">COUNTIFS(Gastos!$B$7:$B$400,$B28)</f>
        <v>0</v>
      </c>
    </row>
    <row r="29" customFormat="false" ht="18" hidden="false" customHeight="true" outlineLevel="0" collapsed="false">
      <c r="B29" s="39" t="str">
        <f aca="false">IF(Listas!$B$11="","",Listas!$B$11)</f>
        <v>Alimentação</v>
      </c>
      <c r="C29" s="40"/>
      <c r="D29" s="41" t="n">
        <f aca="false">SUMIFS(Gastos!$J$7:$J$400,Gastos!$B$7:$B$400,$B29,Gastos!$G$7:$G$400,"&lt;&gt;Reembolsado")</f>
        <v>104</v>
      </c>
      <c r="E29" s="41" t="n">
        <f aca="false">SUMIFS(Gastos!$J$7:$J$400,Gastos!$B$7:$B$400,$B29,Gastos!$G$7:$G$400,"Pago")</f>
        <v>104</v>
      </c>
      <c r="F29" s="41" t="n">
        <f aca="false">$D29-$E29</f>
        <v>0</v>
      </c>
      <c r="G29" s="42" t="n">
        <f aca="false">IFERROR($D29/$D$38,0)</f>
        <v>0.0124955995064238</v>
      </c>
      <c r="H29" s="41" t="str">
        <f aca="false">IF($C29="","",$C29-$D29)</f>
        <v/>
      </c>
      <c r="I29" s="43" t="n">
        <f aca="false">COUNTIFS(Gastos!$B$7:$B$400,$B29)</f>
        <v>1</v>
      </c>
    </row>
    <row r="30" customFormat="false" ht="18" hidden="false" customHeight="true" outlineLevel="0" collapsed="false">
      <c r="B30" s="44" t="str">
        <f aca="false">IF(Listas!$B$12="","",Listas!$B$12)</f>
        <v>Passeios e Ingressos</v>
      </c>
      <c r="C30" s="40"/>
      <c r="D30" s="45" t="n">
        <f aca="false">SUMIFS(Gastos!$J$7:$J$400,Gastos!$B$7:$B$400,$B30,Gastos!$G$7:$G$400,"&lt;&gt;Reembolsado")</f>
        <v>0</v>
      </c>
      <c r="E30" s="45" t="n">
        <f aca="false">SUMIFS(Gastos!$J$7:$J$400,Gastos!$B$7:$B$400,$B30,Gastos!$G$7:$G$400,"Pago")</f>
        <v>0</v>
      </c>
      <c r="F30" s="45" t="n">
        <f aca="false">$D30-$E30</f>
        <v>0</v>
      </c>
      <c r="G30" s="46" t="n">
        <f aca="false">IFERROR($D30/$D$38,0)</f>
        <v>0</v>
      </c>
      <c r="H30" s="45" t="str">
        <f aca="false">IF($C30="","",$C30-$D30)</f>
        <v/>
      </c>
      <c r="I30" s="47" t="n">
        <f aca="false">COUNTIFS(Gastos!$B$7:$B$400,$B30)</f>
        <v>0</v>
      </c>
    </row>
    <row r="31" customFormat="false" ht="18" hidden="false" customHeight="true" outlineLevel="0" collapsed="false">
      <c r="B31" s="39" t="str">
        <f aca="false">IF(Listas!$B$13="","",Listas!$B$13)</f>
        <v>Tokyo Disney</v>
      </c>
      <c r="C31" s="40"/>
      <c r="D31" s="41" t="n">
        <f aca="false">SUMIFS(Gastos!$J$7:$J$400,Gastos!$B$7:$B$400,$B31,Gastos!$G$7:$G$400,"&lt;&gt;Reembolsado")</f>
        <v>0</v>
      </c>
      <c r="E31" s="41" t="n">
        <f aca="false">SUMIFS(Gastos!$J$7:$J$400,Gastos!$B$7:$B$400,$B31,Gastos!$G$7:$G$400,"Pago")</f>
        <v>0</v>
      </c>
      <c r="F31" s="41" t="n">
        <f aca="false">$D31-$E31</f>
        <v>0</v>
      </c>
      <c r="G31" s="42" t="n">
        <f aca="false">IFERROR($D31/$D$38,0)</f>
        <v>0</v>
      </c>
      <c r="H31" s="41" t="str">
        <f aca="false">IF($C31="","",$C31-$D31)</f>
        <v/>
      </c>
      <c r="I31" s="43" t="n">
        <f aca="false">COUNTIFS(Gastos!$B$7:$B$400,$B31)</f>
        <v>0</v>
      </c>
    </row>
    <row r="32" customFormat="false" ht="18" hidden="false" customHeight="true" outlineLevel="0" collapsed="false">
      <c r="B32" s="44" t="str">
        <f aca="false">IF(Listas!$B$14="","",Listas!$B$14)</f>
        <v>Compras e Souvenirs</v>
      </c>
      <c r="C32" s="40"/>
      <c r="D32" s="45" t="n">
        <f aca="false">SUMIFS(Gastos!$J$7:$J$400,Gastos!$B$7:$B$400,$B32,Gastos!$G$7:$G$400,"&lt;&gt;Reembolsado")</f>
        <v>0</v>
      </c>
      <c r="E32" s="45" t="n">
        <f aca="false">SUMIFS(Gastos!$J$7:$J$400,Gastos!$B$7:$B$400,$B32,Gastos!$G$7:$G$400,"Pago")</f>
        <v>0</v>
      </c>
      <c r="F32" s="45" t="n">
        <f aca="false">$D32-$E32</f>
        <v>0</v>
      </c>
      <c r="G32" s="46" t="n">
        <f aca="false">IFERROR($D32/$D$38,0)</f>
        <v>0</v>
      </c>
      <c r="H32" s="45" t="str">
        <f aca="false">IF($C32="","",$C32-$D32)</f>
        <v/>
      </c>
      <c r="I32" s="47" t="n">
        <f aca="false">COUNTIFS(Gastos!$B$7:$B$400,$B32)</f>
        <v>0</v>
      </c>
    </row>
    <row r="33" customFormat="false" ht="18" hidden="false" customHeight="true" outlineLevel="0" collapsed="false">
      <c r="B33" s="39" t="str">
        <f aca="false">IF(Listas!$B$15="","",Listas!$B$15)</f>
        <v>Seguro Viagem</v>
      </c>
      <c r="C33" s="40"/>
      <c r="D33" s="41" t="n">
        <f aca="false">SUMIFS(Gastos!$J$7:$J$400,Gastos!$B$7:$B$400,$B33,Gastos!$G$7:$G$400,"&lt;&gt;Reembolsado")</f>
        <v>0</v>
      </c>
      <c r="E33" s="41" t="n">
        <f aca="false">SUMIFS(Gastos!$J$7:$J$400,Gastos!$B$7:$B$400,$B33,Gastos!$G$7:$G$400,"Pago")</f>
        <v>0</v>
      </c>
      <c r="F33" s="41" t="n">
        <f aca="false">$D33-$E33</f>
        <v>0</v>
      </c>
      <c r="G33" s="42" t="n">
        <f aca="false">IFERROR($D33/$D$38,0)</f>
        <v>0</v>
      </c>
      <c r="H33" s="41" t="str">
        <f aca="false">IF($C33="","",$C33-$D33)</f>
        <v/>
      </c>
      <c r="I33" s="43" t="n">
        <f aca="false">COUNTIFS(Gastos!$B$7:$B$400,$B33)</f>
        <v>0</v>
      </c>
    </row>
    <row r="34" customFormat="false" ht="18" hidden="false" customHeight="true" outlineLevel="0" collapsed="false">
      <c r="B34" s="44" t="str">
        <f aca="false">IF(Listas!$B$16="","",Listas!$B$16)</f>
        <v>Chip / Internet</v>
      </c>
      <c r="C34" s="40"/>
      <c r="D34" s="45" t="n">
        <f aca="false">SUMIFS(Gastos!$J$7:$J$400,Gastos!$B$7:$B$400,$B34,Gastos!$G$7:$G$400,"&lt;&gt;Reembolsado")</f>
        <v>0</v>
      </c>
      <c r="E34" s="45" t="n">
        <f aca="false">SUMIFS(Gastos!$J$7:$J$400,Gastos!$B$7:$B$400,$B34,Gastos!$G$7:$G$400,"Pago")</f>
        <v>0</v>
      </c>
      <c r="F34" s="45" t="n">
        <f aca="false">$D34-$E34</f>
        <v>0</v>
      </c>
      <c r="G34" s="46" t="n">
        <f aca="false">IFERROR($D34/$D$38,0)</f>
        <v>0</v>
      </c>
      <c r="H34" s="45" t="str">
        <f aca="false">IF($C34="","",$C34-$D34)</f>
        <v/>
      </c>
      <c r="I34" s="47" t="n">
        <f aca="false">COUNTIFS(Gastos!$B$7:$B$400,$B34)</f>
        <v>0</v>
      </c>
    </row>
    <row r="35" customFormat="false" ht="18" hidden="false" customHeight="true" outlineLevel="0" collapsed="false">
      <c r="B35" s="39" t="str">
        <f aca="false">IF(Listas!$B$17="","",Listas!$B$17)</f>
        <v>Documentos (passaporte etc.)</v>
      </c>
      <c r="C35" s="40"/>
      <c r="D35" s="41" t="n">
        <f aca="false">SUMIFS(Gastos!$J$7:$J$400,Gastos!$B$7:$B$400,$B35,Gastos!$G$7:$G$400,"&lt;&gt;Reembolsado")</f>
        <v>0</v>
      </c>
      <c r="E35" s="41" t="n">
        <f aca="false">SUMIFS(Gastos!$J$7:$J$400,Gastos!$B$7:$B$400,$B35,Gastos!$G$7:$G$400,"Pago")</f>
        <v>0</v>
      </c>
      <c r="F35" s="41" t="n">
        <f aca="false">$D35-$E35</f>
        <v>0</v>
      </c>
      <c r="G35" s="42" t="n">
        <f aca="false">IFERROR($D35/$D$38,0)</f>
        <v>0</v>
      </c>
      <c r="H35" s="41" t="str">
        <f aca="false">IF($C35="","",$C35-$D35)</f>
        <v/>
      </c>
      <c r="I35" s="43" t="n">
        <f aca="false">COUNTIFS(Gastos!$B$7:$B$400,$B35)</f>
        <v>0</v>
      </c>
    </row>
    <row r="36" customFormat="false" ht="18" hidden="false" customHeight="true" outlineLevel="0" collapsed="false">
      <c r="B36" s="44" t="str">
        <f aca="false">IF(Listas!$B$18="","",Listas!$B$18)</f>
        <v>Bagagem e Equipamentos</v>
      </c>
      <c r="C36" s="40"/>
      <c r="D36" s="45" t="n">
        <f aca="false">SUMIFS(Gastos!$J$7:$J$400,Gastos!$B$7:$B$400,$B36,Gastos!$G$7:$G$400,"&lt;&gt;Reembolsado")</f>
        <v>0</v>
      </c>
      <c r="E36" s="45" t="n">
        <f aca="false">SUMIFS(Gastos!$J$7:$J$400,Gastos!$B$7:$B$400,$B36,Gastos!$G$7:$G$400,"Pago")</f>
        <v>0</v>
      </c>
      <c r="F36" s="45" t="n">
        <f aca="false">$D36-$E36</f>
        <v>0</v>
      </c>
      <c r="G36" s="46" t="n">
        <f aca="false">IFERROR($D36/$D$38,0)</f>
        <v>0</v>
      </c>
      <c r="H36" s="45" t="str">
        <f aca="false">IF($C36="","",$C36-$D36)</f>
        <v/>
      </c>
      <c r="I36" s="47" t="n">
        <f aca="false">COUNTIFS(Gastos!$B$7:$B$400,$B36)</f>
        <v>0</v>
      </c>
    </row>
    <row r="37" customFormat="false" ht="18" hidden="false" customHeight="true" outlineLevel="0" collapsed="false">
      <c r="B37" s="39" t="str">
        <f aca="false">IF(Listas!$B$19="","",Listas!$B$19)</f>
        <v>Outros</v>
      </c>
      <c r="C37" s="40"/>
      <c r="D37" s="41" t="n">
        <f aca="false">SUMIFS(Gastos!$J$7:$J$400,Gastos!$B$7:$B$400,$B37,Gastos!$G$7:$G$400,"&lt;&gt;Reembolsado")</f>
        <v>0</v>
      </c>
      <c r="E37" s="41" t="n">
        <f aca="false">SUMIFS(Gastos!$J$7:$J$400,Gastos!$B$7:$B$400,$B37,Gastos!$G$7:$G$400,"Pago")</f>
        <v>0</v>
      </c>
      <c r="F37" s="41" t="n">
        <f aca="false">$D37-$E37</f>
        <v>0</v>
      </c>
      <c r="G37" s="42" t="n">
        <f aca="false">IFERROR($D37/$D$38,0)</f>
        <v>0</v>
      </c>
      <c r="H37" s="41" t="str">
        <f aca="false">IF($C37="","",$C37-$D37)</f>
        <v/>
      </c>
      <c r="I37" s="43" t="n">
        <f aca="false">COUNTIFS(Gastos!$B$7:$B$400,$B37)</f>
        <v>0</v>
      </c>
    </row>
    <row r="38" customFormat="false" ht="21.75" hidden="false" customHeight="true" outlineLevel="0" collapsed="false">
      <c r="B38" s="48" t="s">
        <v>39</v>
      </c>
      <c r="C38" s="49" t="n">
        <f aca="false">SUM(C25:C37)</f>
        <v>0</v>
      </c>
      <c r="D38" s="49" t="n">
        <f aca="false">SUM(D25:D37)</f>
        <v>8322.93</v>
      </c>
      <c r="E38" s="49" t="n">
        <f aca="false">SUM(E25:E37)</f>
        <v>8322.93</v>
      </c>
      <c r="F38" s="49" t="n">
        <f aca="false">SUM(F25:F37)</f>
        <v>0</v>
      </c>
      <c r="G38" s="50" t="n">
        <f aca="false">SUM(G25:G37)</f>
        <v>1</v>
      </c>
      <c r="H38" s="49" t="n">
        <f aca="false">SUM(H25:H37)</f>
        <v>0</v>
      </c>
      <c r="I38" s="51" t="n">
        <f aca="false">SUM(I25:I37)</f>
        <v>2</v>
      </c>
    </row>
    <row r="39" customFormat="false" ht="12" hidden="false" customHeight="true" outlineLevel="0" collapsed="false"/>
    <row r="40" customFormat="false" ht="19.5" hidden="false" customHeight="true" outlineLevel="0" collapsed="false">
      <c r="B40" s="52" t="s">
        <v>40</v>
      </c>
      <c r="C40" s="52"/>
      <c r="D40" s="52"/>
      <c r="E40" s="52"/>
      <c r="G40" s="52" t="s">
        <v>41</v>
      </c>
      <c r="H40" s="52"/>
      <c r="I40" s="52"/>
    </row>
    <row r="41" customFormat="false" ht="24" hidden="false" customHeight="true" outlineLevel="0" collapsed="false">
      <c r="B41" s="53" t="s">
        <v>42</v>
      </c>
      <c r="C41" s="54" t="s">
        <v>43</v>
      </c>
      <c r="D41" s="54" t="s">
        <v>34</v>
      </c>
      <c r="E41" s="55" t="s">
        <v>35</v>
      </c>
      <c r="G41" s="53" t="s">
        <v>44</v>
      </c>
      <c r="H41" s="54" t="s">
        <v>43</v>
      </c>
      <c r="I41" s="55" t="s">
        <v>35</v>
      </c>
    </row>
    <row r="42" customFormat="false" ht="18" hidden="false" customHeight="true" outlineLevel="0" collapsed="false">
      <c r="B42" s="56" t="str">
        <f aca="false">IF(Listas!$D$7="","",Listas!$D$7)</f>
        <v>Dinheiro (iene)</v>
      </c>
      <c r="C42" s="57" t="n">
        <f aca="false">SUMIFS(Gastos!$J$7:$J$400,Gastos!$F$7:$F$400,$B42)</f>
        <v>104</v>
      </c>
      <c r="D42" s="57" t="n">
        <f aca="false">SUMIFS(Gastos!$J$7:$J$400,Gastos!$F$7:$F$400,$B42,Gastos!$G$7:$G$400,"Pago")</f>
        <v>104</v>
      </c>
      <c r="E42" s="58" t="n">
        <f aca="false">$C42-$D42</f>
        <v>0</v>
      </c>
      <c r="G42" s="56" t="str">
        <f aca="false">IF(Listas!$H$7="","",Listas!$H$7)</f>
        <v>Viajante 1</v>
      </c>
      <c r="H42" s="57" t="n">
        <f aca="false">SUMIFS(Gastos!$J$7:$J$400,Gastos!$E$7:$E$400,$G42)</f>
        <v>104</v>
      </c>
      <c r="I42" s="58" t="n">
        <f aca="false">SUMIFS(Gastos!$J$7:$J$400,Gastos!$E$7:$E$400,$G42,Gastos!$G$7:$G$400,"Pendente")</f>
        <v>0</v>
      </c>
    </row>
    <row r="43" customFormat="false" ht="18" hidden="false" customHeight="true" outlineLevel="0" collapsed="false">
      <c r="B43" s="56" t="str">
        <f aca="false">IF(Listas!$D$8="","",Listas!$D$8)</f>
        <v>Dinheiro (real)</v>
      </c>
      <c r="C43" s="57" t="n">
        <f aca="false">SUMIFS(Gastos!$J$7:$J$400,Gastos!$F$7:$F$400,$B43)</f>
        <v>0</v>
      </c>
      <c r="D43" s="57" t="n">
        <f aca="false">SUMIFS(Gastos!$J$7:$J$400,Gastos!$F$7:$F$400,$B43,Gastos!$G$7:$G$400,"Pago")</f>
        <v>0</v>
      </c>
      <c r="E43" s="58" t="n">
        <f aca="false">$C43-$D43</f>
        <v>0</v>
      </c>
      <c r="G43" s="56" t="str">
        <f aca="false">IF(Listas!$H$8="","",Listas!$H$8)</f>
        <v>Viajante 2</v>
      </c>
      <c r="H43" s="57" t="n">
        <f aca="false">SUMIFS(Gastos!$J$7:$J$400,Gastos!$E$7:$E$400,$G43)</f>
        <v>0</v>
      </c>
      <c r="I43" s="58" t="n">
        <f aca="false">SUMIFS(Gastos!$J$7:$J$400,Gastos!$E$7:$E$400,$G43,Gastos!$G$7:$G$400,"Pendente")</f>
        <v>0</v>
      </c>
    </row>
    <row r="44" customFormat="false" ht="18" hidden="false" customHeight="true" outlineLevel="0" collapsed="false">
      <c r="B44" s="56" t="str">
        <f aca="false">IF(Listas!$D$9="","",Listas!$D$9)</f>
        <v>Cartão de crédito</v>
      </c>
      <c r="C44" s="57" t="n">
        <f aca="false">SUMIFS(Gastos!$J$7:$J$400,Gastos!$F$7:$F$400,$B44)</f>
        <v>0</v>
      </c>
      <c r="D44" s="57" t="n">
        <f aca="false">SUMIFS(Gastos!$J$7:$J$400,Gastos!$F$7:$F$400,$B44,Gastos!$G$7:$G$400,"Pago")</f>
        <v>0</v>
      </c>
      <c r="E44" s="58" t="n">
        <f aca="false">$C44-$D44</f>
        <v>0</v>
      </c>
      <c r="G44" s="59" t="str">
        <f aca="false">IF(Listas!$H$9="","",Listas!$H$9)</f>
        <v>Dividido</v>
      </c>
      <c r="H44" s="60" t="n">
        <f aca="false">SUMIFS(Gastos!$J$7:$J$400,Gastos!$E$7:$E$400,$G44)</f>
        <v>8218.93</v>
      </c>
      <c r="I44" s="61" t="n">
        <f aca="false">SUMIFS(Gastos!$J$7:$J$400,Gastos!$E$7:$E$400,$G44,Gastos!$G$7:$G$400,"Pendente")</f>
        <v>0</v>
      </c>
    </row>
    <row r="45" customFormat="false" ht="18" hidden="false" customHeight="true" outlineLevel="0" collapsed="false">
      <c r="B45" s="56" t="str">
        <f aca="false">IF(Listas!$D$10="","",Listas!$D$10)</f>
        <v>Cartão de débito</v>
      </c>
      <c r="C45" s="57" t="n">
        <f aca="false">SUMIFS(Gastos!$J$7:$J$400,Gastos!$F$7:$F$400,$B45)</f>
        <v>0</v>
      </c>
      <c r="D45" s="57" t="n">
        <f aca="false">SUMIFS(Gastos!$J$7:$J$400,Gastos!$F$7:$F$400,$B45,Gastos!$G$7:$G$400,"Pago")</f>
        <v>0</v>
      </c>
      <c r="E45" s="58" t="n">
        <f aca="false">$C45-$D45</f>
        <v>0</v>
      </c>
    </row>
    <row r="46" customFormat="false" ht="18" hidden="false" customHeight="true" outlineLevel="0" collapsed="false">
      <c r="B46" s="56" t="str">
        <f aca="false">IF(Listas!$D$11="","",Listas!$D$11)</f>
        <v>Cartão internacional (Wise/Nomad)</v>
      </c>
      <c r="C46" s="57" t="n">
        <f aca="false">SUMIFS(Gastos!$J$7:$J$400,Gastos!$F$7:$F$400,$B46)</f>
        <v>0</v>
      </c>
      <c r="D46" s="57" t="n">
        <f aca="false">SUMIFS(Gastos!$J$7:$J$400,Gastos!$F$7:$F$400,$B46,Gastos!$G$7:$G$400,"Pago")</f>
        <v>0</v>
      </c>
      <c r="E46" s="58" t="n">
        <f aca="false">$C46-$D46</f>
        <v>0</v>
      </c>
    </row>
    <row r="47" customFormat="false" ht="18" hidden="false" customHeight="true" outlineLevel="0" collapsed="false">
      <c r="B47" s="56" t="str">
        <f aca="false">IF(Listas!$D$12="","",Listas!$D$12)</f>
        <v>IC Card (Suica/Pasmo)</v>
      </c>
      <c r="C47" s="57" t="n">
        <f aca="false">SUMIFS(Gastos!$J$7:$J$400,Gastos!$F$7:$F$400,$B47)</f>
        <v>0</v>
      </c>
      <c r="D47" s="57" t="n">
        <f aca="false">SUMIFS(Gastos!$J$7:$J$400,Gastos!$F$7:$F$400,$B47,Gastos!$G$7:$G$400,"Pago")</f>
        <v>0</v>
      </c>
      <c r="E47" s="58" t="n">
        <f aca="false">$C47-$D47</f>
        <v>0</v>
      </c>
    </row>
    <row r="48" customFormat="false" ht="18" hidden="false" customHeight="true" outlineLevel="0" collapsed="false">
      <c r="B48" s="56" t="str">
        <f aca="false">IF(Listas!$D$13="","",Listas!$D$13)</f>
        <v>PIX</v>
      </c>
      <c r="C48" s="57" t="n">
        <f aca="false">SUMIFS(Gastos!$J$7:$J$400,Gastos!$F$7:$F$400,$B48)</f>
        <v>0</v>
      </c>
      <c r="D48" s="57" t="n">
        <f aca="false">SUMIFS(Gastos!$J$7:$J$400,Gastos!$F$7:$F$400,$B48,Gastos!$G$7:$G$400,"Pago")</f>
        <v>0</v>
      </c>
      <c r="E48" s="58" t="n">
        <f aca="false">$C48-$D48</f>
        <v>0</v>
      </c>
    </row>
    <row r="49" customFormat="false" ht="18" hidden="false" customHeight="true" outlineLevel="0" collapsed="false">
      <c r="B49" s="59" t="str">
        <f aca="false">IF(Listas!$D$14="","",Listas!$D$14)</f>
        <v>Transferência / Boleto</v>
      </c>
      <c r="C49" s="60" t="n">
        <f aca="false">SUMIFS(Gastos!$J$7:$J$400,Gastos!$F$7:$F$400,$B49)</f>
        <v>0</v>
      </c>
      <c r="D49" s="60" t="n">
        <f aca="false">SUMIFS(Gastos!$J$7:$J$400,Gastos!$F$7:$F$400,$B49,Gastos!$G$7:$G$400,"Pago")</f>
        <v>0</v>
      </c>
      <c r="E49" s="61" t="n">
        <f aca="false">$C49-$D49</f>
        <v>0</v>
      </c>
    </row>
    <row r="51" customFormat="false" ht="19.5" hidden="false" customHeight="true" outlineLevel="0" collapsed="false">
      <c r="B51" s="5" t="s">
        <v>45</v>
      </c>
      <c r="C51" s="5"/>
      <c r="D51" s="5"/>
      <c r="E51" s="5"/>
      <c r="F51" s="5"/>
      <c r="G51" s="5"/>
      <c r="H51" s="5"/>
      <c r="I51" s="5"/>
    </row>
    <row r="52" customFormat="false" ht="16.5" hidden="false" customHeight="true" outlineLevel="0" collapsed="false">
      <c r="B52" s="62" t="s">
        <v>46</v>
      </c>
      <c r="C52" s="62"/>
      <c r="D52" s="62"/>
      <c r="E52" s="62"/>
      <c r="F52" s="62"/>
      <c r="G52" s="62"/>
      <c r="H52" s="62"/>
      <c r="I52" s="62"/>
    </row>
    <row r="53" customFormat="false" ht="25.5" hidden="false" customHeight="true" outlineLevel="0" collapsed="false">
      <c r="B53" s="63" t="s">
        <v>47</v>
      </c>
      <c r="C53" s="63"/>
      <c r="D53" s="63"/>
      <c r="E53" s="63"/>
      <c r="F53" s="63"/>
      <c r="G53" s="63"/>
      <c r="H53" s="63"/>
      <c r="I53" s="63"/>
    </row>
    <row r="54" customFormat="false" ht="16.5" hidden="false" customHeight="true" outlineLevel="0" collapsed="false">
      <c r="B54" s="63" t="s">
        <v>48</v>
      </c>
      <c r="C54" s="63"/>
      <c r="D54" s="63"/>
      <c r="E54" s="63"/>
      <c r="F54" s="63"/>
      <c r="G54" s="63"/>
      <c r="H54" s="63"/>
      <c r="I54" s="63"/>
    </row>
    <row r="55" customFormat="false" ht="16.5" hidden="false" customHeight="true" outlineLevel="0" collapsed="false">
      <c r="B55" s="63" t="s">
        <v>49</v>
      </c>
      <c r="C55" s="63"/>
      <c r="D55" s="63"/>
      <c r="E55" s="63"/>
      <c r="F55" s="63"/>
      <c r="G55" s="63"/>
      <c r="H55" s="63"/>
      <c r="I55" s="63"/>
    </row>
    <row r="56" customFormat="false" ht="16.5" hidden="false" customHeight="true" outlineLevel="0" collapsed="false">
      <c r="B56" s="63" t="s">
        <v>50</v>
      </c>
      <c r="C56" s="63"/>
      <c r="D56" s="63"/>
      <c r="E56" s="63"/>
      <c r="F56" s="63"/>
      <c r="G56" s="63"/>
      <c r="H56" s="63"/>
      <c r="I56" s="63"/>
    </row>
    <row r="57" customFormat="false" ht="25.5" hidden="false" customHeight="true" outlineLevel="0" collapsed="false">
      <c r="B57" s="64" t="s">
        <v>51</v>
      </c>
      <c r="C57" s="64"/>
      <c r="D57" s="64"/>
      <c r="E57" s="64"/>
      <c r="F57" s="64"/>
      <c r="G57" s="64"/>
      <c r="H57" s="64"/>
      <c r="I57" s="64"/>
    </row>
    <row r="58" customFormat="false" ht="16.5" hidden="false" customHeight="true" outlineLevel="0" collapsed="false">
      <c r="B58" s="65" t="s">
        <v>52</v>
      </c>
      <c r="C58" s="65"/>
      <c r="D58" s="65"/>
      <c r="E58" s="65"/>
      <c r="F58" s="65"/>
      <c r="G58" s="65"/>
      <c r="H58" s="65"/>
      <c r="I58" s="65"/>
    </row>
  </sheetData>
  <mergeCells count="33">
    <mergeCell ref="B3:I3"/>
    <mergeCell ref="B4:I4"/>
    <mergeCell ref="B6:C6"/>
    <mergeCell ref="E6:G6"/>
    <mergeCell ref="E11:G12"/>
    <mergeCell ref="B14:I14"/>
    <mergeCell ref="B16:C16"/>
    <mergeCell ref="D16:E16"/>
    <mergeCell ref="F16:G16"/>
    <mergeCell ref="H16:I16"/>
    <mergeCell ref="B17:C17"/>
    <mergeCell ref="D17:E17"/>
    <mergeCell ref="F17:G17"/>
    <mergeCell ref="H17:I17"/>
    <mergeCell ref="B19:C19"/>
    <mergeCell ref="D19:E19"/>
    <mergeCell ref="F19:G19"/>
    <mergeCell ref="H19:I19"/>
    <mergeCell ref="B20:C20"/>
    <mergeCell ref="D20:E20"/>
    <mergeCell ref="F20:G20"/>
    <mergeCell ref="H20:I20"/>
    <mergeCell ref="B23:I23"/>
    <mergeCell ref="B40:E40"/>
    <mergeCell ref="G40:I40"/>
    <mergeCell ref="B51:I51"/>
    <mergeCell ref="B52:I52"/>
    <mergeCell ref="B53:I53"/>
    <mergeCell ref="B54:I54"/>
    <mergeCell ref="B55:I55"/>
    <mergeCell ref="B56:I56"/>
    <mergeCell ref="B57:I57"/>
    <mergeCell ref="B58:I58"/>
  </mergeCells>
  <conditionalFormatting sqref="D25:D37">
    <cfRule type="dataBar" priority="2">
      <dataBar showValue="1" minLength="10" maxLength="90">
        <cfvo type="num" val="0"/>
        <cfvo type="max" val="0"/>
        <color rgb="FFC1121F"/>
      </dataBar>
      <extLst>
        <ext xmlns:x14="http://schemas.microsoft.com/office/spreadsheetml/2009/9/main" uri="{B025F937-C7B1-47D3-B67F-A62EFF666E3E}">
          <x14:id>{7B26A649-2A58-44F0-B6EE-B2489EA97320}</x14:id>
        </ext>
      </extLst>
    </cfRule>
  </conditionalFormatting>
  <conditionalFormatting sqref="H25:H37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26A649-2A58-44F0-B6EE-B2489EA97320}">
            <x14:dataBar minLength="10" maxLength="90" axisPosition="none" gradient="true">
              <x14:cfvo type="num">
                <xm:f>0</xm:f>
              </x14:cfvo>
              <x14:cfvo type="max"/>
              <x14:negativeFillColor rgb="FFC1121F"/>
              <x14:axisColor rgb="FF000000"/>
            </x14:dataBar>
          </x14:cfRule>
          <xm:sqref>D25:D37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1121F"/>
    <pageSetUpPr fitToPage="true"/>
  </sheetPr>
  <dimension ref="A1:K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40"/>
  </cols>
  <sheetData>
    <row r="1" customFormat="false" ht="6" hidden="false" customHeight="true" outlineLevel="0" collapsed="false"/>
    <row r="2" customFormat="false" ht="6.7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36" hidden="false" customHeight="true" outlineLevel="0" collapsed="false">
      <c r="A3" s="2" t="s">
        <v>53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9.5" hidden="false" customHeight="true" outlineLevel="0" collapsed="false">
      <c r="A4" s="3" t="s">
        <v>54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customFormat="false" ht="12" hidden="false" customHeight="true" outlineLevel="0" collapsed="false"/>
    <row r="6" customFormat="false" ht="25.5" hidden="false" customHeight="true" outlineLevel="0" collapsed="false">
      <c r="A6" s="66" t="s">
        <v>55</v>
      </c>
      <c r="B6" s="66" t="s">
        <v>31</v>
      </c>
      <c r="C6" s="66" t="s">
        <v>56</v>
      </c>
      <c r="D6" s="66" t="s">
        <v>57</v>
      </c>
      <c r="E6" s="66" t="s">
        <v>44</v>
      </c>
      <c r="F6" s="66" t="s">
        <v>42</v>
      </c>
      <c r="G6" s="66" t="s">
        <v>58</v>
      </c>
      <c r="H6" s="66" t="s">
        <v>6</v>
      </c>
      <c r="I6" s="66" t="s">
        <v>59</v>
      </c>
      <c r="J6" s="67" t="s">
        <v>60</v>
      </c>
      <c r="K6" s="66" t="s">
        <v>61</v>
      </c>
    </row>
    <row r="7" customFormat="false" ht="18" hidden="false" customHeight="true" outlineLevel="0" collapsed="false">
      <c r="A7" s="68"/>
      <c r="B7" s="69" t="s">
        <v>62</v>
      </c>
      <c r="C7" s="69" t="s">
        <v>63</v>
      </c>
      <c r="D7" s="69" t="s">
        <v>64</v>
      </c>
      <c r="E7" s="69" t="s">
        <v>65</v>
      </c>
      <c r="F7" s="70"/>
      <c r="G7" s="71" t="s">
        <v>66</v>
      </c>
      <c r="H7" s="71" t="s">
        <v>13</v>
      </c>
      <c r="I7" s="72" t="n">
        <v>8218.93</v>
      </c>
      <c r="J7" s="73" t="n">
        <f aca="false">IF($I7="","",IFERROR($I7*INDEX(TAXAS,MATCH($H7,MOEDAS,0)),""))</f>
        <v>8218.93</v>
      </c>
      <c r="K7" s="74" t="s">
        <v>67</v>
      </c>
    </row>
    <row r="8" customFormat="false" ht="18" hidden="false" customHeight="true" outlineLevel="0" collapsed="false">
      <c r="A8" s="75" t="n">
        <v>46508</v>
      </c>
      <c r="B8" s="76" t="s">
        <v>68</v>
      </c>
      <c r="C8" s="77" t="s">
        <v>69</v>
      </c>
      <c r="D8" s="76" t="s">
        <v>70</v>
      </c>
      <c r="E8" s="76" t="s">
        <v>71</v>
      </c>
      <c r="F8" s="76" t="s">
        <v>72</v>
      </c>
      <c r="G8" s="78" t="s">
        <v>66</v>
      </c>
      <c r="H8" s="78" t="s">
        <v>10</v>
      </c>
      <c r="I8" s="79" t="n">
        <v>3200</v>
      </c>
      <c r="J8" s="80" t="n">
        <f aca="false">IF($I8="","",IFERROR($I8*INDEX(TAXAS,MATCH($H8,MOEDAS,0)),""))</f>
        <v>104</v>
      </c>
      <c r="K8" s="81" t="s">
        <v>73</v>
      </c>
    </row>
    <row r="9" customFormat="false" ht="18" hidden="false" customHeight="true" outlineLevel="0" collapsed="false">
      <c r="A9" s="82"/>
      <c r="B9" s="69"/>
      <c r="C9" s="69"/>
      <c r="D9" s="69"/>
      <c r="E9" s="69"/>
      <c r="F9" s="69"/>
      <c r="G9" s="71"/>
      <c r="H9" s="71"/>
      <c r="I9" s="72"/>
      <c r="J9" s="73" t="str">
        <f aca="false">IF($I9="","",IFERROR($I9*INDEX(TAXAS,MATCH($H9,MOEDAS,0)),""))</f>
        <v/>
      </c>
      <c r="K9" s="69"/>
    </row>
    <row r="10" customFormat="false" ht="18" hidden="false" customHeight="true" outlineLevel="0" collapsed="false">
      <c r="A10" s="83"/>
      <c r="B10" s="84"/>
      <c r="C10" s="84"/>
      <c r="D10" s="84"/>
      <c r="E10" s="84"/>
      <c r="F10" s="84"/>
      <c r="G10" s="85"/>
      <c r="H10" s="85"/>
      <c r="I10" s="86"/>
      <c r="J10" s="73" t="str">
        <f aca="false">IF($I10="","",IFERROR($I10*INDEX(TAXAS,MATCH($H10,MOEDAS,0)),""))</f>
        <v/>
      </c>
      <c r="K10" s="84"/>
    </row>
    <row r="11" customFormat="false" ht="18" hidden="false" customHeight="true" outlineLevel="0" collapsed="false">
      <c r="A11" s="82"/>
      <c r="B11" s="69"/>
      <c r="C11" s="69"/>
      <c r="D11" s="69"/>
      <c r="E11" s="69"/>
      <c r="F11" s="69"/>
      <c r="G11" s="71"/>
      <c r="H11" s="71"/>
      <c r="I11" s="72"/>
      <c r="J11" s="73" t="str">
        <f aca="false">IF($I11="","",IFERROR($I11*INDEX(TAXAS,MATCH($H11,MOEDAS,0)),""))</f>
        <v/>
      </c>
      <c r="K11" s="69"/>
    </row>
    <row r="12" customFormat="false" ht="18" hidden="false" customHeight="true" outlineLevel="0" collapsed="false">
      <c r="A12" s="83"/>
      <c r="B12" s="84"/>
      <c r="C12" s="84"/>
      <c r="D12" s="84"/>
      <c r="E12" s="84"/>
      <c r="F12" s="84"/>
      <c r="G12" s="85"/>
      <c r="H12" s="85"/>
      <c r="I12" s="86"/>
      <c r="J12" s="73" t="str">
        <f aca="false">IF($I12="","",IFERROR($I12*INDEX(TAXAS,MATCH($H12,MOEDAS,0)),""))</f>
        <v/>
      </c>
      <c r="K12" s="84"/>
    </row>
    <row r="13" customFormat="false" ht="18" hidden="false" customHeight="true" outlineLevel="0" collapsed="false">
      <c r="A13" s="82"/>
      <c r="B13" s="69"/>
      <c r="C13" s="69"/>
      <c r="D13" s="69"/>
      <c r="E13" s="69"/>
      <c r="F13" s="69"/>
      <c r="G13" s="71"/>
      <c r="H13" s="71"/>
      <c r="I13" s="72"/>
      <c r="J13" s="73" t="str">
        <f aca="false">IF($I13="","",IFERROR($I13*INDEX(TAXAS,MATCH($H13,MOEDAS,0)),""))</f>
        <v/>
      </c>
      <c r="K13" s="69"/>
    </row>
    <row r="14" customFormat="false" ht="18" hidden="false" customHeight="true" outlineLevel="0" collapsed="false">
      <c r="A14" s="83"/>
      <c r="B14" s="84"/>
      <c r="C14" s="84"/>
      <c r="D14" s="84"/>
      <c r="E14" s="84"/>
      <c r="F14" s="84"/>
      <c r="G14" s="85"/>
      <c r="H14" s="85"/>
      <c r="I14" s="86"/>
      <c r="J14" s="73" t="str">
        <f aca="false">IF($I14="","",IFERROR($I14*INDEX(TAXAS,MATCH($H14,MOEDAS,0)),""))</f>
        <v/>
      </c>
      <c r="K14" s="84"/>
    </row>
    <row r="15" customFormat="false" ht="18" hidden="false" customHeight="true" outlineLevel="0" collapsed="false">
      <c r="A15" s="82"/>
      <c r="B15" s="69"/>
      <c r="C15" s="69"/>
      <c r="D15" s="69"/>
      <c r="E15" s="69"/>
      <c r="F15" s="69"/>
      <c r="G15" s="71"/>
      <c r="H15" s="71"/>
      <c r="I15" s="72"/>
      <c r="J15" s="73" t="str">
        <f aca="false">IF($I15="","",IFERROR($I15*INDEX(TAXAS,MATCH($H15,MOEDAS,0)),""))</f>
        <v/>
      </c>
      <c r="K15" s="69"/>
    </row>
    <row r="16" customFormat="false" ht="18" hidden="false" customHeight="true" outlineLevel="0" collapsed="false">
      <c r="A16" s="83"/>
      <c r="B16" s="84"/>
      <c r="C16" s="84"/>
      <c r="D16" s="84"/>
      <c r="E16" s="84"/>
      <c r="F16" s="84"/>
      <c r="G16" s="85"/>
      <c r="H16" s="85"/>
      <c r="I16" s="86"/>
      <c r="J16" s="73" t="str">
        <f aca="false">IF($I16="","",IFERROR($I16*INDEX(TAXAS,MATCH($H16,MOEDAS,0)),""))</f>
        <v/>
      </c>
      <c r="K16" s="84"/>
    </row>
    <row r="17" customFormat="false" ht="18" hidden="false" customHeight="true" outlineLevel="0" collapsed="false">
      <c r="A17" s="82"/>
      <c r="B17" s="69"/>
      <c r="C17" s="69"/>
      <c r="D17" s="69"/>
      <c r="E17" s="69"/>
      <c r="F17" s="69"/>
      <c r="G17" s="71"/>
      <c r="H17" s="71"/>
      <c r="I17" s="72"/>
      <c r="J17" s="73" t="str">
        <f aca="false">IF($I17="","",IFERROR($I17*INDEX(TAXAS,MATCH($H17,MOEDAS,0)),""))</f>
        <v/>
      </c>
      <c r="K17" s="69"/>
    </row>
    <row r="18" customFormat="false" ht="18" hidden="false" customHeight="true" outlineLevel="0" collapsed="false">
      <c r="A18" s="83"/>
      <c r="B18" s="84"/>
      <c r="C18" s="84"/>
      <c r="D18" s="84"/>
      <c r="E18" s="84"/>
      <c r="F18" s="84"/>
      <c r="G18" s="85"/>
      <c r="H18" s="85"/>
      <c r="I18" s="86"/>
      <c r="J18" s="73" t="str">
        <f aca="false">IF($I18="","",IFERROR($I18*INDEX(TAXAS,MATCH($H18,MOEDAS,0)),""))</f>
        <v/>
      </c>
      <c r="K18" s="84"/>
    </row>
    <row r="19" customFormat="false" ht="18" hidden="false" customHeight="true" outlineLevel="0" collapsed="false">
      <c r="A19" s="82"/>
      <c r="B19" s="69"/>
      <c r="C19" s="69"/>
      <c r="D19" s="69"/>
      <c r="E19" s="69"/>
      <c r="F19" s="69"/>
      <c r="G19" s="71"/>
      <c r="H19" s="71"/>
      <c r="I19" s="72"/>
      <c r="J19" s="73" t="str">
        <f aca="false">IF($I19="","",IFERROR($I19*INDEX(TAXAS,MATCH($H19,MOEDAS,0)),""))</f>
        <v/>
      </c>
      <c r="K19" s="69"/>
    </row>
    <row r="20" customFormat="false" ht="18" hidden="false" customHeight="true" outlineLevel="0" collapsed="false">
      <c r="A20" s="83"/>
      <c r="B20" s="84"/>
      <c r="C20" s="84"/>
      <c r="D20" s="84"/>
      <c r="E20" s="84"/>
      <c r="F20" s="84"/>
      <c r="G20" s="85"/>
      <c r="H20" s="85"/>
      <c r="I20" s="86"/>
      <c r="J20" s="73" t="str">
        <f aca="false">IF($I20="","",IFERROR($I20*INDEX(TAXAS,MATCH($H20,MOEDAS,0)),""))</f>
        <v/>
      </c>
      <c r="K20" s="84"/>
    </row>
    <row r="21" customFormat="false" ht="18" hidden="false" customHeight="true" outlineLevel="0" collapsed="false">
      <c r="A21" s="82"/>
      <c r="B21" s="69"/>
      <c r="C21" s="69"/>
      <c r="D21" s="69"/>
      <c r="E21" s="69"/>
      <c r="F21" s="69"/>
      <c r="G21" s="71"/>
      <c r="H21" s="71"/>
      <c r="I21" s="72"/>
      <c r="J21" s="73" t="str">
        <f aca="false">IF($I21="","",IFERROR($I21*INDEX(TAXAS,MATCH($H21,MOEDAS,0)),""))</f>
        <v/>
      </c>
      <c r="K21" s="69"/>
    </row>
    <row r="22" customFormat="false" ht="18" hidden="false" customHeight="true" outlineLevel="0" collapsed="false">
      <c r="A22" s="83"/>
      <c r="B22" s="84"/>
      <c r="C22" s="84"/>
      <c r="D22" s="84"/>
      <c r="E22" s="84"/>
      <c r="F22" s="84"/>
      <c r="G22" s="85"/>
      <c r="H22" s="85"/>
      <c r="I22" s="86"/>
      <c r="J22" s="73" t="str">
        <f aca="false">IF($I22="","",IFERROR($I22*INDEX(TAXAS,MATCH($H22,MOEDAS,0)),""))</f>
        <v/>
      </c>
      <c r="K22" s="84"/>
    </row>
    <row r="23" customFormat="false" ht="18" hidden="false" customHeight="true" outlineLevel="0" collapsed="false">
      <c r="A23" s="82"/>
      <c r="B23" s="69"/>
      <c r="C23" s="69"/>
      <c r="D23" s="69"/>
      <c r="E23" s="69"/>
      <c r="F23" s="69"/>
      <c r="G23" s="71"/>
      <c r="H23" s="71"/>
      <c r="I23" s="72"/>
      <c r="J23" s="73" t="str">
        <f aca="false">IF($I23="","",IFERROR($I23*INDEX(TAXAS,MATCH($H23,MOEDAS,0)),""))</f>
        <v/>
      </c>
      <c r="K23" s="69"/>
    </row>
    <row r="24" customFormat="false" ht="18" hidden="false" customHeight="true" outlineLevel="0" collapsed="false">
      <c r="A24" s="83"/>
      <c r="B24" s="84"/>
      <c r="C24" s="84"/>
      <c r="D24" s="84"/>
      <c r="E24" s="84"/>
      <c r="F24" s="84"/>
      <c r="G24" s="85"/>
      <c r="H24" s="85"/>
      <c r="I24" s="86"/>
      <c r="J24" s="73" t="str">
        <f aca="false">IF($I24="","",IFERROR($I24*INDEX(TAXAS,MATCH($H24,MOEDAS,0)),""))</f>
        <v/>
      </c>
      <c r="K24" s="84"/>
    </row>
    <row r="25" customFormat="false" ht="18" hidden="false" customHeight="true" outlineLevel="0" collapsed="false">
      <c r="A25" s="82"/>
      <c r="B25" s="69"/>
      <c r="C25" s="69"/>
      <c r="D25" s="69"/>
      <c r="E25" s="69"/>
      <c r="F25" s="69"/>
      <c r="G25" s="71"/>
      <c r="H25" s="71"/>
      <c r="I25" s="72"/>
      <c r="J25" s="73" t="str">
        <f aca="false">IF($I25="","",IFERROR($I25*INDEX(TAXAS,MATCH($H25,MOEDAS,0)),""))</f>
        <v/>
      </c>
      <c r="K25" s="69"/>
    </row>
    <row r="26" customFormat="false" ht="18" hidden="false" customHeight="true" outlineLevel="0" collapsed="false">
      <c r="A26" s="83"/>
      <c r="B26" s="84"/>
      <c r="C26" s="84"/>
      <c r="D26" s="84"/>
      <c r="E26" s="84"/>
      <c r="F26" s="84"/>
      <c r="G26" s="85"/>
      <c r="H26" s="85"/>
      <c r="I26" s="86"/>
      <c r="J26" s="73" t="str">
        <f aca="false">IF($I26="","",IFERROR($I26*INDEX(TAXAS,MATCH($H26,MOEDAS,0)),""))</f>
        <v/>
      </c>
      <c r="K26" s="84"/>
    </row>
    <row r="27" customFormat="false" ht="18" hidden="false" customHeight="true" outlineLevel="0" collapsed="false">
      <c r="A27" s="82"/>
      <c r="B27" s="69"/>
      <c r="C27" s="69"/>
      <c r="D27" s="69"/>
      <c r="E27" s="69"/>
      <c r="F27" s="69"/>
      <c r="G27" s="71"/>
      <c r="H27" s="71"/>
      <c r="I27" s="72"/>
      <c r="J27" s="73" t="str">
        <f aca="false">IF($I27="","",IFERROR($I27*INDEX(TAXAS,MATCH($H27,MOEDAS,0)),""))</f>
        <v/>
      </c>
      <c r="K27" s="69"/>
    </row>
    <row r="28" customFormat="false" ht="18" hidden="false" customHeight="true" outlineLevel="0" collapsed="false">
      <c r="A28" s="83"/>
      <c r="B28" s="84"/>
      <c r="C28" s="84"/>
      <c r="D28" s="84"/>
      <c r="E28" s="84"/>
      <c r="F28" s="84"/>
      <c r="G28" s="85"/>
      <c r="H28" s="85"/>
      <c r="I28" s="86"/>
      <c r="J28" s="73" t="str">
        <f aca="false">IF($I28="","",IFERROR($I28*INDEX(TAXAS,MATCH($H28,MOEDAS,0)),""))</f>
        <v/>
      </c>
      <c r="K28" s="84"/>
    </row>
    <row r="29" customFormat="false" ht="18" hidden="false" customHeight="true" outlineLevel="0" collapsed="false">
      <c r="A29" s="82"/>
      <c r="B29" s="69"/>
      <c r="C29" s="69"/>
      <c r="D29" s="69"/>
      <c r="E29" s="69"/>
      <c r="F29" s="69"/>
      <c r="G29" s="71"/>
      <c r="H29" s="71"/>
      <c r="I29" s="72"/>
      <c r="J29" s="73" t="str">
        <f aca="false">IF($I29="","",IFERROR($I29*INDEX(TAXAS,MATCH($H29,MOEDAS,0)),""))</f>
        <v/>
      </c>
      <c r="K29" s="69"/>
    </row>
    <row r="30" customFormat="false" ht="18" hidden="false" customHeight="true" outlineLevel="0" collapsed="false">
      <c r="A30" s="83"/>
      <c r="B30" s="84"/>
      <c r="C30" s="84"/>
      <c r="D30" s="84"/>
      <c r="E30" s="84"/>
      <c r="F30" s="84"/>
      <c r="G30" s="85"/>
      <c r="H30" s="85"/>
      <c r="I30" s="86"/>
      <c r="J30" s="73" t="str">
        <f aca="false">IF($I30="","",IFERROR($I30*INDEX(TAXAS,MATCH($H30,MOEDAS,0)),""))</f>
        <v/>
      </c>
      <c r="K30" s="84"/>
    </row>
    <row r="31" customFormat="false" ht="18" hidden="false" customHeight="true" outlineLevel="0" collapsed="false">
      <c r="A31" s="82"/>
      <c r="B31" s="69"/>
      <c r="C31" s="69"/>
      <c r="D31" s="69"/>
      <c r="E31" s="69"/>
      <c r="F31" s="69"/>
      <c r="G31" s="71"/>
      <c r="H31" s="71"/>
      <c r="I31" s="72"/>
      <c r="J31" s="73" t="str">
        <f aca="false">IF($I31="","",IFERROR($I31*INDEX(TAXAS,MATCH($H31,MOEDAS,0)),""))</f>
        <v/>
      </c>
      <c r="K31" s="69"/>
    </row>
    <row r="32" customFormat="false" ht="18" hidden="false" customHeight="true" outlineLevel="0" collapsed="false">
      <c r="A32" s="83"/>
      <c r="B32" s="84"/>
      <c r="C32" s="84"/>
      <c r="D32" s="84"/>
      <c r="E32" s="84"/>
      <c r="F32" s="84"/>
      <c r="G32" s="85"/>
      <c r="H32" s="85"/>
      <c r="I32" s="86"/>
      <c r="J32" s="73" t="str">
        <f aca="false">IF($I32="","",IFERROR($I32*INDEX(TAXAS,MATCH($H32,MOEDAS,0)),""))</f>
        <v/>
      </c>
      <c r="K32" s="84"/>
    </row>
    <row r="33" customFormat="false" ht="18" hidden="false" customHeight="true" outlineLevel="0" collapsed="false">
      <c r="A33" s="82"/>
      <c r="B33" s="69"/>
      <c r="C33" s="69"/>
      <c r="D33" s="69"/>
      <c r="E33" s="69"/>
      <c r="F33" s="69"/>
      <c r="G33" s="71"/>
      <c r="H33" s="71"/>
      <c r="I33" s="72"/>
      <c r="J33" s="73" t="str">
        <f aca="false">IF($I33="","",IFERROR($I33*INDEX(TAXAS,MATCH($H33,MOEDAS,0)),""))</f>
        <v/>
      </c>
      <c r="K33" s="69"/>
    </row>
    <row r="34" customFormat="false" ht="18" hidden="false" customHeight="true" outlineLevel="0" collapsed="false">
      <c r="A34" s="83"/>
      <c r="B34" s="84"/>
      <c r="C34" s="84"/>
      <c r="D34" s="84"/>
      <c r="E34" s="84"/>
      <c r="F34" s="84"/>
      <c r="G34" s="85"/>
      <c r="H34" s="85"/>
      <c r="I34" s="86"/>
      <c r="J34" s="73" t="str">
        <f aca="false">IF($I34="","",IFERROR($I34*INDEX(TAXAS,MATCH($H34,MOEDAS,0)),""))</f>
        <v/>
      </c>
      <c r="K34" s="84"/>
    </row>
    <row r="35" customFormat="false" ht="18" hidden="false" customHeight="true" outlineLevel="0" collapsed="false">
      <c r="A35" s="82"/>
      <c r="B35" s="69"/>
      <c r="C35" s="69"/>
      <c r="D35" s="69"/>
      <c r="E35" s="69"/>
      <c r="F35" s="69"/>
      <c r="G35" s="71"/>
      <c r="H35" s="71"/>
      <c r="I35" s="72"/>
      <c r="J35" s="73" t="str">
        <f aca="false">IF($I35="","",IFERROR($I35*INDEX(TAXAS,MATCH($H35,MOEDAS,0)),""))</f>
        <v/>
      </c>
      <c r="K35" s="69"/>
    </row>
    <row r="36" customFormat="false" ht="18" hidden="false" customHeight="true" outlineLevel="0" collapsed="false">
      <c r="A36" s="83"/>
      <c r="B36" s="84"/>
      <c r="C36" s="84"/>
      <c r="D36" s="84"/>
      <c r="E36" s="84"/>
      <c r="F36" s="84"/>
      <c r="G36" s="85"/>
      <c r="H36" s="85"/>
      <c r="I36" s="86"/>
      <c r="J36" s="73" t="str">
        <f aca="false">IF($I36="","",IFERROR($I36*INDEX(TAXAS,MATCH($H36,MOEDAS,0)),""))</f>
        <v/>
      </c>
      <c r="K36" s="84"/>
    </row>
    <row r="37" customFormat="false" ht="18" hidden="false" customHeight="true" outlineLevel="0" collapsed="false">
      <c r="A37" s="82"/>
      <c r="B37" s="69"/>
      <c r="C37" s="69"/>
      <c r="D37" s="69"/>
      <c r="E37" s="69"/>
      <c r="F37" s="69"/>
      <c r="G37" s="71"/>
      <c r="H37" s="71"/>
      <c r="I37" s="72"/>
      <c r="J37" s="73" t="str">
        <f aca="false">IF($I37="","",IFERROR($I37*INDEX(TAXAS,MATCH($H37,MOEDAS,0)),""))</f>
        <v/>
      </c>
      <c r="K37" s="69"/>
    </row>
    <row r="38" customFormat="false" ht="18" hidden="false" customHeight="true" outlineLevel="0" collapsed="false">
      <c r="A38" s="83"/>
      <c r="B38" s="84"/>
      <c r="C38" s="84"/>
      <c r="D38" s="84"/>
      <c r="E38" s="84"/>
      <c r="F38" s="84"/>
      <c r="G38" s="85"/>
      <c r="H38" s="85"/>
      <c r="I38" s="86"/>
      <c r="J38" s="73" t="str">
        <f aca="false">IF($I38="","",IFERROR($I38*INDEX(TAXAS,MATCH($H38,MOEDAS,0)),""))</f>
        <v/>
      </c>
      <c r="K38" s="84"/>
    </row>
    <row r="39" customFormat="false" ht="18" hidden="false" customHeight="true" outlineLevel="0" collapsed="false">
      <c r="A39" s="82"/>
      <c r="B39" s="69"/>
      <c r="C39" s="69"/>
      <c r="D39" s="69"/>
      <c r="E39" s="69"/>
      <c r="F39" s="69"/>
      <c r="G39" s="71"/>
      <c r="H39" s="71"/>
      <c r="I39" s="72"/>
      <c r="J39" s="73" t="str">
        <f aca="false">IF($I39="","",IFERROR($I39*INDEX(TAXAS,MATCH($H39,MOEDAS,0)),""))</f>
        <v/>
      </c>
      <c r="K39" s="69"/>
    </row>
    <row r="40" customFormat="false" ht="18" hidden="false" customHeight="true" outlineLevel="0" collapsed="false">
      <c r="A40" s="83"/>
      <c r="B40" s="84"/>
      <c r="C40" s="84"/>
      <c r="D40" s="84"/>
      <c r="E40" s="84"/>
      <c r="F40" s="84"/>
      <c r="G40" s="85"/>
      <c r="H40" s="85"/>
      <c r="I40" s="86"/>
      <c r="J40" s="73" t="str">
        <f aca="false">IF($I40="","",IFERROR($I40*INDEX(TAXAS,MATCH($H40,MOEDAS,0)),""))</f>
        <v/>
      </c>
      <c r="K40" s="84"/>
    </row>
    <row r="41" customFormat="false" ht="18" hidden="false" customHeight="true" outlineLevel="0" collapsed="false">
      <c r="A41" s="82"/>
      <c r="B41" s="69"/>
      <c r="C41" s="69"/>
      <c r="D41" s="69"/>
      <c r="E41" s="69"/>
      <c r="F41" s="69"/>
      <c r="G41" s="71"/>
      <c r="H41" s="71"/>
      <c r="I41" s="72"/>
      <c r="J41" s="73" t="str">
        <f aca="false">IF($I41="","",IFERROR($I41*INDEX(TAXAS,MATCH($H41,MOEDAS,0)),""))</f>
        <v/>
      </c>
      <c r="K41" s="69"/>
    </row>
    <row r="42" customFormat="false" ht="18" hidden="false" customHeight="true" outlineLevel="0" collapsed="false">
      <c r="A42" s="83"/>
      <c r="B42" s="84"/>
      <c r="C42" s="84"/>
      <c r="D42" s="84"/>
      <c r="E42" s="84"/>
      <c r="F42" s="84"/>
      <c r="G42" s="85"/>
      <c r="H42" s="85"/>
      <c r="I42" s="86"/>
      <c r="J42" s="73" t="str">
        <f aca="false">IF($I42="","",IFERROR($I42*INDEX(TAXAS,MATCH($H42,MOEDAS,0)),""))</f>
        <v/>
      </c>
      <c r="K42" s="84"/>
    </row>
    <row r="43" customFormat="false" ht="18" hidden="false" customHeight="true" outlineLevel="0" collapsed="false">
      <c r="A43" s="82"/>
      <c r="B43" s="69"/>
      <c r="C43" s="69"/>
      <c r="D43" s="69"/>
      <c r="E43" s="69"/>
      <c r="F43" s="69"/>
      <c r="G43" s="71"/>
      <c r="H43" s="71"/>
      <c r="I43" s="72"/>
      <c r="J43" s="73" t="str">
        <f aca="false">IF($I43="","",IFERROR($I43*INDEX(TAXAS,MATCH($H43,MOEDAS,0)),""))</f>
        <v/>
      </c>
      <c r="K43" s="69"/>
    </row>
    <row r="44" customFormat="false" ht="18" hidden="false" customHeight="true" outlineLevel="0" collapsed="false">
      <c r="A44" s="83"/>
      <c r="B44" s="84"/>
      <c r="C44" s="84"/>
      <c r="D44" s="84"/>
      <c r="E44" s="84"/>
      <c r="F44" s="84"/>
      <c r="G44" s="85"/>
      <c r="H44" s="85"/>
      <c r="I44" s="86"/>
      <c r="J44" s="73" t="str">
        <f aca="false">IF($I44="","",IFERROR($I44*INDEX(TAXAS,MATCH($H44,MOEDAS,0)),""))</f>
        <v/>
      </c>
      <c r="K44" s="84"/>
    </row>
    <row r="45" customFormat="false" ht="18" hidden="false" customHeight="true" outlineLevel="0" collapsed="false">
      <c r="A45" s="82"/>
      <c r="B45" s="69"/>
      <c r="C45" s="69"/>
      <c r="D45" s="69"/>
      <c r="E45" s="69"/>
      <c r="F45" s="69"/>
      <c r="G45" s="71"/>
      <c r="H45" s="71"/>
      <c r="I45" s="72"/>
      <c r="J45" s="73" t="str">
        <f aca="false">IF($I45="","",IFERROR($I45*INDEX(TAXAS,MATCH($H45,MOEDAS,0)),""))</f>
        <v/>
      </c>
      <c r="K45" s="69"/>
    </row>
    <row r="46" customFormat="false" ht="18" hidden="false" customHeight="true" outlineLevel="0" collapsed="false">
      <c r="A46" s="83"/>
      <c r="B46" s="84"/>
      <c r="C46" s="84"/>
      <c r="D46" s="84"/>
      <c r="E46" s="84"/>
      <c r="F46" s="84"/>
      <c r="G46" s="85"/>
      <c r="H46" s="85"/>
      <c r="I46" s="86"/>
      <c r="J46" s="73" t="str">
        <f aca="false">IF($I46="","",IFERROR($I46*INDEX(TAXAS,MATCH($H46,MOEDAS,0)),""))</f>
        <v/>
      </c>
      <c r="K46" s="84"/>
    </row>
    <row r="47" customFormat="false" ht="18" hidden="false" customHeight="true" outlineLevel="0" collapsed="false">
      <c r="A47" s="82"/>
      <c r="B47" s="69"/>
      <c r="C47" s="69"/>
      <c r="D47" s="69"/>
      <c r="E47" s="69"/>
      <c r="F47" s="69"/>
      <c r="G47" s="71"/>
      <c r="H47" s="71"/>
      <c r="I47" s="72"/>
      <c r="J47" s="73" t="str">
        <f aca="false">IF($I47="","",IFERROR($I47*INDEX(TAXAS,MATCH($H47,MOEDAS,0)),""))</f>
        <v/>
      </c>
      <c r="K47" s="69"/>
    </row>
    <row r="48" customFormat="false" ht="18" hidden="false" customHeight="true" outlineLevel="0" collapsed="false">
      <c r="A48" s="83"/>
      <c r="B48" s="84"/>
      <c r="C48" s="84"/>
      <c r="D48" s="84"/>
      <c r="E48" s="84"/>
      <c r="F48" s="84"/>
      <c r="G48" s="85"/>
      <c r="H48" s="85"/>
      <c r="I48" s="86"/>
      <c r="J48" s="73" t="str">
        <f aca="false">IF($I48="","",IFERROR($I48*INDEX(TAXAS,MATCH($H48,MOEDAS,0)),""))</f>
        <v/>
      </c>
      <c r="K48" s="84"/>
    </row>
    <row r="49" customFormat="false" ht="18" hidden="false" customHeight="true" outlineLevel="0" collapsed="false">
      <c r="A49" s="82"/>
      <c r="B49" s="69"/>
      <c r="C49" s="69"/>
      <c r="D49" s="69"/>
      <c r="E49" s="69"/>
      <c r="F49" s="69"/>
      <c r="G49" s="71"/>
      <c r="H49" s="71"/>
      <c r="I49" s="72"/>
      <c r="J49" s="73" t="str">
        <f aca="false">IF($I49="","",IFERROR($I49*INDEX(TAXAS,MATCH($H49,MOEDAS,0)),""))</f>
        <v/>
      </c>
      <c r="K49" s="69"/>
    </row>
    <row r="50" customFormat="false" ht="18" hidden="false" customHeight="true" outlineLevel="0" collapsed="false">
      <c r="A50" s="83"/>
      <c r="B50" s="84"/>
      <c r="C50" s="84"/>
      <c r="D50" s="84"/>
      <c r="E50" s="84"/>
      <c r="F50" s="84"/>
      <c r="G50" s="85"/>
      <c r="H50" s="85"/>
      <c r="I50" s="86"/>
      <c r="J50" s="73" t="str">
        <f aca="false">IF($I50="","",IFERROR($I50*INDEX(TAXAS,MATCH($H50,MOEDAS,0)),""))</f>
        <v/>
      </c>
      <c r="K50" s="84"/>
    </row>
    <row r="51" customFormat="false" ht="18" hidden="false" customHeight="true" outlineLevel="0" collapsed="false">
      <c r="A51" s="82"/>
      <c r="B51" s="69"/>
      <c r="C51" s="69"/>
      <c r="D51" s="69"/>
      <c r="E51" s="69"/>
      <c r="F51" s="69"/>
      <c r="G51" s="71"/>
      <c r="H51" s="71"/>
      <c r="I51" s="72"/>
      <c r="J51" s="73" t="str">
        <f aca="false">IF($I51="","",IFERROR($I51*INDEX(TAXAS,MATCH($H51,MOEDAS,0)),""))</f>
        <v/>
      </c>
      <c r="K51" s="69"/>
    </row>
    <row r="52" customFormat="false" ht="18" hidden="false" customHeight="true" outlineLevel="0" collapsed="false">
      <c r="A52" s="83"/>
      <c r="B52" s="84"/>
      <c r="C52" s="84"/>
      <c r="D52" s="84"/>
      <c r="E52" s="84"/>
      <c r="F52" s="84"/>
      <c r="G52" s="85"/>
      <c r="H52" s="85"/>
      <c r="I52" s="86"/>
      <c r="J52" s="73" t="str">
        <f aca="false">IF($I52="","",IFERROR($I52*INDEX(TAXAS,MATCH($H52,MOEDAS,0)),""))</f>
        <v/>
      </c>
      <c r="K52" s="84"/>
    </row>
    <row r="53" customFormat="false" ht="18" hidden="false" customHeight="true" outlineLevel="0" collapsed="false">
      <c r="A53" s="82"/>
      <c r="B53" s="69"/>
      <c r="C53" s="69"/>
      <c r="D53" s="69"/>
      <c r="E53" s="69"/>
      <c r="F53" s="69"/>
      <c r="G53" s="71"/>
      <c r="H53" s="71"/>
      <c r="I53" s="72"/>
      <c r="J53" s="73" t="str">
        <f aca="false">IF($I53="","",IFERROR($I53*INDEX(TAXAS,MATCH($H53,MOEDAS,0)),""))</f>
        <v/>
      </c>
      <c r="K53" s="69"/>
    </row>
    <row r="54" customFormat="false" ht="18" hidden="false" customHeight="true" outlineLevel="0" collapsed="false">
      <c r="A54" s="83"/>
      <c r="B54" s="84"/>
      <c r="C54" s="84"/>
      <c r="D54" s="84"/>
      <c r="E54" s="84"/>
      <c r="F54" s="84"/>
      <c r="G54" s="85"/>
      <c r="H54" s="85"/>
      <c r="I54" s="86"/>
      <c r="J54" s="73" t="str">
        <f aca="false">IF($I54="","",IFERROR($I54*INDEX(TAXAS,MATCH($H54,MOEDAS,0)),""))</f>
        <v/>
      </c>
      <c r="K54" s="84"/>
    </row>
    <row r="55" customFormat="false" ht="18" hidden="false" customHeight="true" outlineLevel="0" collapsed="false">
      <c r="A55" s="82"/>
      <c r="B55" s="69"/>
      <c r="C55" s="69"/>
      <c r="D55" s="69"/>
      <c r="E55" s="69"/>
      <c r="F55" s="69"/>
      <c r="G55" s="71"/>
      <c r="H55" s="71"/>
      <c r="I55" s="72"/>
      <c r="J55" s="73" t="str">
        <f aca="false">IF($I55="","",IFERROR($I55*INDEX(TAXAS,MATCH($H55,MOEDAS,0)),""))</f>
        <v/>
      </c>
      <c r="K55" s="69"/>
    </row>
    <row r="56" customFormat="false" ht="18" hidden="false" customHeight="true" outlineLevel="0" collapsed="false">
      <c r="A56" s="83"/>
      <c r="B56" s="84"/>
      <c r="C56" s="84"/>
      <c r="D56" s="84"/>
      <c r="E56" s="84"/>
      <c r="F56" s="84"/>
      <c r="G56" s="85"/>
      <c r="H56" s="85"/>
      <c r="I56" s="86"/>
      <c r="J56" s="73" t="str">
        <f aca="false">IF($I56="","",IFERROR($I56*INDEX(TAXAS,MATCH($H56,MOEDAS,0)),""))</f>
        <v/>
      </c>
      <c r="K56" s="84"/>
    </row>
    <row r="57" customFormat="false" ht="18" hidden="false" customHeight="true" outlineLevel="0" collapsed="false">
      <c r="A57" s="82"/>
      <c r="B57" s="69"/>
      <c r="C57" s="69"/>
      <c r="D57" s="69"/>
      <c r="E57" s="69"/>
      <c r="F57" s="69"/>
      <c r="G57" s="71"/>
      <c r="H57" s="71"/>
      <c r="I57" s="72"/>
      <c r="J57" s="73" t="str">
        <f aca="false">IF($I57="","",IFERROR($I57*INDEX(TAXAS,MATCH($H57,MOEDAS,0)),""))</f>
        <v/>
      </c>
      <c r="K57" s="69"/>
    </row>
    <row r="58" customFormat="false" ht="18" hidden="false" customHeight="true" outlineLevel="0" collapsed="false">
      <c r="A58" s="83"/>
      <c r="B58" s="84"/>
      <c r="C58" s="84"/>
      <c r="D58" s="84"/>
      <c r="E58" s="84"/>
      <c r="F58" s="84"/>
      <c r="G58" s="85"/>
      <c r="H58" s="85"/>
      <c r="I58" s="86"/>
      <c r="J58" s="73" t="str">
        <f aca="false">IF($I58="","",IFERROR($I58*INDEX(TAXAS,MATCH($H58,MOEDAS,0)),""))</f>
        <v/>
      </c>
      <c r="K58" s="84"/>
    </row>
    <row r="59" customFormat="false" ht="18" hidden="false" customHeight="true" outlineLevel="0" collapsed="false">
      <c r="A59" s="82"/>
      <c r="B59" s="69"/>
      <c r="C59" s="69"/>
      <c r="D59" s="69"/>
      <c r="E59" s="69"/>
      <c r="F59" s="69"/>
      <c r="G59" s="71"/>
      <c r="H59" s="71"/>
      <c r="I59" s="72"/>
      <c r="J59" s="73" t="str">
        <f aca="false">IF($I59="","",IFERROR($I59*INDEX(TAXAS,MATCH($H59,MOEDAS,0)),""))</f>
        <v/>
      </c>
      <c r="K59" s="69"/>
    </row>
    <row r="60" customFormat="false" ht="18" hidden="false" customHeight="true" outlineLevel="0" collapsed="false">
      <c r="A60" s="83"/>
      <c r="B60" s="84"/>
      <c r="C60" s="84"/>
      <c r="D60" s="84"/>
      <c r="E60" s="84"/>
      <c r="F60" s="84"/>
      <c r="G60" s="85"/>
      <c r="H60" s="85"/>
      <c r="I60" s="86"/>
      <c r="J60" s="73" t="str">
        <f aca="false">IF($I60="","",IFERROR($I60*INDEX(TAXAS,MATCH($H60,MOEDAS,0)),""))</f>
        <v/>
      </c>
      <c r="K60" s="84"/>
    </row>
    <row r="61" customFormat="false" ht="18" hidden="false" customHeight="true" outlineLevel="0" collapsed="false">
      <c r="A61" s="82"/>
      <c r="B61" s="69"/>
      <c r="C61" s="69"/>
      <c r="D61" s="69"/>
      <c r="E61" s="69"/>
      <c r="F61" s="69"/>
      <c r="G61" s="71"/>
      <c r="H61" s="71"/>
      <c r="I61" s="72"/>
      <c r="J61" s="73" t="str">
        <f aca="false">IF($I61="","",IFERROR($I61*INDEX(TAXAS,MATCH($H61,MOEDAS,0)),""))</f>
        <v/>
      </c>
      <c r="K61" s="69"/>
    </row>
    <row r="62" customFormat="false" ht="18" hidden="false" customHeight="true" outlineLevel="0" collapsed="false">
      <c r="A62" s="83"/>
      <c r="B62" s="84"/>
      <c r="C62" s="84"/>
      <c r="D62" s="84"/>
      <c r="E62" s="84"/>
      <c r="F62" s="84"/>
      <c r="G62" s="85"/>
      <c r="H62" s="85"/>
      <c r="I62" s="86"/>
      <c r="J62" s="73" t="str">
        <f aca="false">IF($I62="","",IFERROR($I62*INDEX(TAXAS,MATCH($H62,MOEDAS,0)),""))</f>
        <v/>
      </c>
      <c r="K62" s="84"/>
    </row>
    <row r="63" customFormat="false" ht="18" hidden="false" customHeight="true" outlineLevel="0" collapsed="false">
      <c r="A63" s="82"/>
      <c r="B63" s="69"/>
      <c r="C63" s="69"/>
      <c r="D63" s="69"/>
      <c r="E63" s="69"/>
      <c r="F63" s="69"/>
      <c r="G63" s="71"/>
      <c r="H63" s="71"/>
      <c r="I63" s="72"/>
      <c r="J63" s="73" t="str">
        <f aca="false">IF($I63="","",IFERROR($I63*INDEX(TAXAS,MATCH($H63,MOEDAS,0)),""))</f>
        <v/>
      </c>
      <c r="K63" s="69"/>
    </row>
    <row r="64" customFormat="false" ht="18" hidden="false" customHeight="true" outlineLevel="0" collapsed="false">
      <c r="A64" s="83"/>
      <c r="B64" s="84"/>
      <c r="C64" s="84"/>
      <c r="D64" s="84"/>
      <c r="E64" s="84"/>
      <c r="F64" s="84"/>
      <c r="G64" s="85"/>
      <c r="H64" s="85"/>
      <c r="I64" s="86"/>
      <c r="J64" s="73" t="str">
        <f aca="false">IF($I64="","",IFERROR($I64*INDEX(TAXAS,MATCH($H64,MOEDAS,0)),""))</f>
        <v/>
      </c>
      <c r="K64" s="84"/>
    </row>
    <row r="65" customFormat="false" ht="18" hidden="false" customHeight="true" outlineLevel="0" collapsed="false">
      <c r="A65" s="82"/>
      <c r="B65" s="69"/>
      <c r="C65" s="69"/>
      <c r="D65" s="69"/>
      <c r="E65" s="69"/>
      <c r="F65" s="69"/>
      <c r="G65" s="71"/>
      <c r="H65" s="71"/>
      <c r="I65" s="72"/>
      <c r="J65" s="73" t="str">
        <f aca="false">IF($I65="","",IFERROR($I65*INDEX(TAXAS,MATCH($H65,MOEDAS,0)),""))</f>
        <v/>
      </c>
      <c r="K65" s="69"/>
    </row>
    <row r="66" customFormat="false" ht="18" hidden="false" customHeight="true" outlineLevel="0" collapsed="false">
      <c r="A66" s="83"/>
      <c r="B66" s="84"/>
      <c r="C66" s="84"/>
      <c r="D66" s="84"/>
      <c r="E66" s="84"/>
      <c r="F66" s="84"/>
      <c r="G66" s="85"/>
      <c r="H66" s="85"/>
      <c r="I66" s="86"/>
      <c r="J66" s="73" t="str">
        <f aca="false">IF($I66="","",IFERROR($I66*INDEX(TAXAS,MATCH($H66,MOEDAS,0)),""))</f>
        <v/>
      </c>
      <c r="K66" s="84"/>
    </row>
    <row r="67" customFormat="false" ht="18" hidden="false" customHeight="true" outlineLevel="0" collapsed="false">
      <c r="A67" s="82"/>
      <c r="B67" s="69"/>
      <c r="C67" s="69"/>
      <c r="D67" s="69"/>
      <c r="E67" s="69"/>
      <c r="F67" s="69"/>
      <c r="G67" s="71"/>
      <c r="H67" s="71"/>
      <c r="I67" s="72"/>
      <c r="J67" s="73" t="str">
        <f aca="false">IF($I67="","",IFERROR($I67*INDEX(TAXAS,MATCH($H67,MOEDAS,0)),""))</f>
        <v/>
      </c>
      <c r="K67" s="69"/>
    </row>
    <row r="68" customFormat="false" ht="18" hidden="false" customHeight="true" outlineLevel="0" collapsed="false">
      <c r="A68" s="83"/>
      <c r="B68" s="84"/>
      <c r="C68" s="84"/>
      <c r="D68" s="84"/>
      <c r="E68" s="84"/>
      <c r="F68" s="84"/>
      <c r="G68" s="85"/>
      <c r="H68" s="85"/>
      <c r="I68" s="86"/>
      <c r="J68" s="73" t="str">
        <f aca="false">IF($I68="","",IFERROR($I68*INDEX(TAXAS,MATCH($H68,MOEDAS,0)),""))</f>
        <v/>
      </c>
      <c r="K68" s="84"/>
    </row>
    <row r="69" customFormat="false" ht="18" hidden="false" customHeight="true" outlineLevel="0" collapsed="false">
      <c r="A69" s="82"/>
      <c r="B69" s="69"/>
      <c r="C69" s="69"/>
      <c r="D69" s="69"/>
      <c r="E69" s="69"/>
      <c r="F69" s="69"/>
      <c r="G69" s="71"/>
      <c r="H69" s="71"/>
      <c r="I69" s="72"/>
      <c r="J69" s="73" t="str">
        <f aca="false">IF($I69="","",IFERROR($I69*INDEX(TAXAS,MATCH($H69,MOEDAS,0)),""))</f>
        <v/>
      </c>
      <c r="K69" s="69"/>
    </row>
    <row r="70" customFormat="false" ht="18" hidden="false" customHeight="true" outlineLevel="0" collapsed="false">
      <c r="A70" s="83"/>
      <c r="B70" s="84"/>
      <c r="C70" s="84"/>
      <c r="D70" s="84"/>
      <c r="E70" s="84"/>
      <c r="F70" s="84"/>
      <c r="G70" s="85"/>
      <c r="H70" s="85"/>
      <c r="I70" s="86"/>
      <c r="J70" s="73" t="str">
        <f aca="false">IF($I70="","",IFERROR($I70*INDEX(TAXAS,MATCH($H70,MOEDAS,0)),""))</f>
        <v/>
      </c>
      <c r="K70" s="84"/>
    </row>
    <row r="71" customFormat="false" ht="18" hidden="false" customHeight="true" outlineLevel="0" collapsed="false">
      <c r="A71" s="82"/>
      <c r="B71" s="69"/>
      <c r="C71" s="69"/>
      <c r="D71" s="69"/>
      <c r="E71" s="69"/>
      <c r="F71" s="69"/>
      <c r="G71" s="71"/>
      <c r="H71" s="71"/>
      <c r="I71" s="72"/>
      <c r="J71" s="73" t="str">
        <f aca="false">IF($I71="","",IFERROR($I71*INDEX(TAXAS,MATCH($H71,MOEDAS,0)),""))</f>
        <v/>
      </c>
      <c r="K71" s="69"/>
    </row>
    <row r="72" customFormat="false" ht="18" hidden="false" customHeight="true" outlineLevel="0" collapsed="false">
      <c r="A72" s="83"/>
      <c r="B72" s="84"/>
      <c r="C72" s="84"/>
      <c r="D72" s="84"/>
      <c r="E72" s="84"/>
      <c r="F72" s="84"/>
      <c r="G72" s="85"/>
      <c r="H72" s="85"/>
      <c r="I72" s="86"/>
      <c r="J72" s="73" t="str">
        <f aca="false">IF($I72="","",IFERROR($I72*INDEX(TAXAS,MATCH($H72,MOEDAS,0)),""))</f>
        <v/>
      </c>
      <c r="K72" s="84"/>
    </row>
    <row r="73" customFormat="false" ht="18" hidden="false" customHeight="true" outlineLevel="0" collapsed="false">
      <c r="A73" s="82"/>
      <c r="B73" s="69"/>
      <c r="C73" s="69"/>
      <c r="D73" s="69"/>
      <c r="E73" s="69"/>
      <c r="F73" s="69"/>
      <c r="G73" s="71"/>
      <c r="H73" s="71"/>
      <c r="I73" s="72"/>
      <c r="J73" s="73" t="str">
        <f aca="false">IF($I73="","",IFERROR($I73*INDEX(TAXAS,MATCH($H73,MOEDAS,0)),""))</f>
        <v/>
      </c>
      <c r="K73" s="69"/>
    </row>
    <row r="74" customFormat="false" ht="18" hidden="false" customHeight="true" outlineLevel="0" collapsed="false">
      <c r="A74" s="83"/>
      <c r="B74" s="84"/>
      <c r="C74" s="84"/>
      <c r="D74" s="84"/>
      <c r="E74" s="84"/>
      <c r="F74" s="84"/>
      <c r="G74" s="85"/>
      <c r="H74" s="85"/>
      <c r="I74" s="86"/>
      <c r="J74" s="73" t="str">
        <f aca="false">IF($I74="","",IFERROR($I74*INDEX(TAXAS,MATCH($H74,MOEDAS,0)),""))</f>
        <v/>
      </c>
      <c r="K74" s="84"/>
    </row>
    <row r="75" customFormat="false" ht="18" hidden="false" customHeight="true" outlineLevel="0" collapsed="false">
      <c r="A75" s="82"/>
      <c r="B75" s="69"/>
      <c r="C75" s="69"/>
      <c r="D75" s="69"/>
      <c r="E75" s="69"/>
      <c r="F75" s="69"/>
      <c r="G75" s="71"/>
      <c r="H75" s="71"/>
      <c r="I75" s="72"/>
      <c r="J75" s="73" t="str">
        <f aca="false">IF($I75="","",IFERROR($I75*INDEX(TAXAS,MATCH($H75,MOEDAS,0)),""))</f>
        <v/>
      </c>
      <c r="K75" s="69"/>
    </row>
    <row r="76" customFormat="false" ht="18" hidden="false" customHeight="true" outlineLevel="0" collapsed="false">
      <c r="A76" s="83"/>
      <c r="B76" s="84"/>
      <c r="C76" s="84"/>
      <c r="D76" s="84"/>
      <c r="E76" s="84"/>
      <c r="F76" s="84"/>
      <c r="G76" s="85"/>
      <c r="H76" s="85"/>
      <c r="I76" s="86"/>
      <c r="J76" s="73" t="str">
        <f aca="false">IF($I76="","",IFERROR($I76*INDEX(TAXAS,MATCH($H76,MOEDAS,0)),""))</f>
        <v/>
      </c>
      <c r="K76" s="84"/>
    </row>
    <row r="77" customFormat="false" ht="18" hidden="false" customHeight="true" outlineLevel="0" collapsed="false">
      <c r="A77" s="82"/>
      <c r="B77" s="69"/>
      <c r="C77" s="69"/>
      <c r="D77" s="69"/>
      <c r="E77" s="69"/>
      <c r="F77" s="69"/>
      <c r="G77" s="71"/>
      <c r="H77" s="71"/>
      <c r="I77" s="72"/>
      <c r="J77" s="73" t="str">
        <f aca="false">IF($I77="","",IFERROR($I77*INDEX(TAXAS,MATCH($H77,MOEDAS,0)),""))</f>
        <v/>
      </c>
      <c r="K77" s="69"/>
    </row>
    <row r="78" customFormat="false" ht="18" hidden="false" customHeight="true" outlineLevel="0" collapsed="false">
      <c r="A78" s="83"/>
      <c r="B78" s="84"/>
      <c r="C78" s="84"/>
      <c r="D78" s="84"/>
      <c r="E78" s="84"/>
      <c r="F78" s="84"/>
      <c r="G78" s="85"/>
      <c r="H78" s="85"/>
      <c r="I78" s="86"/>
      <c r="J78" s="73" t="str">
        <f aca="false">IF($I78="","",IFERROR($I78*INDEX(TAXAS,MATCH($H78,MOEDAS,0)),""))</f>
        <v/>
      </c>
      <c r="K78" s="84"/>
    </row>
    <row r="79" customFormat="false" ht="18" hidden="false" customHeight="true" outlineLevel="0" collapsed="false">
      <c r="A79" s="82"/>
      <c r="B79" s="69"/>
      <c r="C79" s="69"/>
      <c r="D79" s="69"/>
      <c r="E79" s="69"/>
      <c r="F79" s="69"/>
      <c r="G79" s="71"/>
      <c r="H79" s="71"/>
      <c r="I79" s="72"/>
      <c r="J79" s="73" t="str">
        <f aca="false">IF($I79="","",IFERROR($I79*INDEX(TAXAS,MATCH($H79,MOEDAS,0)),""))</f>
        <v/>
      </c>
      <c r="K79" s="69"/>
    </row>
    <row r="80" customFormat="false" ht="18" hidden="false" customHeight="true" outlineLevel="0" collapsed="false">
      <c r="A80" s="83"/>
      <c r="B80" s="84"/>
      <c r="C80" s="84"/>
      <c r="D80" s="84"/>
      <c r="E80" s="84"/>
      <c r="F80" s="84"/>
      <c r="G80" s="85"/>
      <c r="H80" s="85"/>
      <c r="I80" s="86"/>
      <c r="J80" s="73" t="str">
        <f aca="false">IF($I80="","",IFERROR($I80*INDEX(TAXAS,MATCH($H80,MOEDAS,0)),""))</f>
        <v/>
      </c>
      <c r="K80" s="84"/>
    </row>
    <row r="81" customFormat="false" ht="18" hidden="false" customHeight="true" outlineLevel="0" collapsed="false">
      <c r="A81" s="82"/>
      <c r="B81" s="69"/>
      <c r="C81" s="69"/>
      <c r="D81" s="69"/>
      <c r="E81" s="69"/>
      <c r="F81" s="69"/>
      <c r="G81" s="71"/>
      <c r="H81" s="71"/>
      <c r="I81" s="72"/>
      <c r="J81" s="73" t="str">
        <f aca="false">IF($I81="","",IFERROR($I81*INDEX(TAXAS,MATCH($H81,MOEDAS,0)),""))</f>
        <v/>
      </c>
      <c r="K81" s="69"/>
    </row>
    <row r="82" customFormat="false" ht="18" hidden="false" customHeight="true" outlineLevel="0" collapsed="false">
      <c r="A82" s="83"/>
      <c r="B82" s="84"/>
      <c r="C82" s="84"/>
      <c r="D82" s="84"/>
      <c r="E82" s="84"/>
      <c r="F82" s="84"/>
      <c r="G82" s="85"/>
      <c r="H82" s="85"/>
      <c r="I82" s="86"/>
      <c r="J82" s="73" t="str">
        <f aca="false">IF($I82="","",IFERROR($I82*INDEX(TAXAS,MATCH($H82,MOEDAS,0)),""))</f>
        <v/>
      </c>
      <c r="K82" s="84"/>
    </row>
    <row r="83" customFormat="false" ht="18" hidden="false" customHeight="true" outlineLevel="0" collapsed="false">
      <c r="A83" s="82"/>
      <c r="B83" s="69"/>
      <c r="C83" s="69"/>
      <c r="D83" s="69"/>
      <c r="E83" s="69"/>
      <c r="F83" s="69"/>
      <c r="G83" s="71"/>
      <c r="H83" s="71"/>
      <c r="I83" s="72"/>
      <c r="J83" s="73" t="str">
        <f aca="false">IF($I83="","",IFERROR($I83*INDEX(TAXAS,MATCH($H83,MOEDAS,0)),""))</f>
        <v/>
      </c>
      <c r="K83" s="69"/>
    </row>
    <row r="84" customFormat="false" ht="18" hidden="false" customHeight="true" outlineLevel="0" collapsed="false">
      <c r="A84" s="83"/>
      <c r="B84" s="84"/>
      <c r="C84" s="84"/>
      <c r="D84" s="84"/>
      <c r="E84" s="84"/>
      <c r="F84" s="84"/>
      <c r="G84" s="85"/>
      <c r="H84" s="85"/>
      <c r="I84" s="86"/>
      <c r="J84" s="73" t="str">
        <f aca="false">IF($I84="","",IFERROR($I84*INDEX(TAXAS,MATCH($H84,MOEDAS,0)),""))</f>
        <v/>
      </c>
      <c r="K84" s="84"/>
    </row>
    <row r="85" customFormat="false" ht="18" hidden="false" customHeight="true" outlineLevel="0" collapsed="false">
      <c r="A85" s="82"/>
      <c r="B85" s="69"/>
      <c r="C85" s="69"/>
      <c r="D85" s="69"/>
      <c r="E85" s="69"/>
      <c r="F85" s="69"/>
      <c r="G85" s="71"/>
      <c r="H85" s="71"/>
      <c r="I85" s="72"/>
      <c r="J85" s="73" t="str">
        <f aca="false">IF($I85="","",IFERROR($I85*INDEX(TAXAS,MATCH($H85,MOEDAS,0)),""))</f>
        <v/>
      </c>
      <c r="K85" s="69"/>
    </row>
    <row r="86" customFormat="false" ht="18" hidden="false" customHeight="true" outlineLevel="0" collapsed="false">
      <c r="A86" s="83"/>
      <c r="B86" s="84"/>
      <c r="C86" s="84"/>
      <c r="D86" s="84"/>
      <c r="E86" s="84"/>
      <c r="F86" s="84"/>
      <c r="G86" s="85"/>
      <c r="H86" s="85"/>
      <c r="I86" s="86"/>
      <c r="J86" s="73" t="str">
        <f aca="false">IF($I86="","",IFERROR($I86*INDEX(TAXAS,MATCH($H86,MOEDAS,0)),""))</f>
        <v/>
      </c>
      <c r="K86" s="84"/>
    </row>
    <row r="87" customFormat="false" ht="18" hidden="false" customHeight="true" outlineLevel="0" collapsed="false">
      <c r="A87" s="82"/>
      <c r="B87" s="69"/>
      <c r="C87" s="69"/>
      <c r="D87" s="69"/>
      <c r="E87" s="69"/>
      <c r="F87" s="69"/>
      <c r="G87" s="71"/>
      <c r="H87" s="71"/>
      <c r="I87" s="72"/>
      <c r="J87" s="73" t="str">
        <f aca="false">IF($I87="","",IFERROR($I87*INDEX(TAXAS,MATCH($H87,MOEDAS,0)),""))</f>
        <v/>
      </c>
      <c r="K87" s="69"/>
    </row>
    <row r="88" customFormat="false" ht="18" hidden="false" customHeight="true" outlineLevel="0" collapsed="false">
      <c r="A88" s="83"/>
      <c r="B88" s="84"/>
      <c r="C88" s="84"/>
      <c r="D88" s="84"/>
      <c r="E88" s="84"/>
      <c r="F88" s="84"/>
      <c r="G88" s="85"/>
      <c r="H88" s="85"/>
      <c r="I88" s="86"/>
      <c r="J88" s="73" t="str">
        <f aca="false">IF($I88="","",IFERROR($I88*INDEX(TAXAS,MATCH($H88,MOEDAS,0)),""))</f>
        <v/>
      </c>
      <c r="K88" s="84"/>
    </row>
    <row r="89" customFormat="false" ht="18" hidden="false" customHeight="true" outlineLevel="0" collapsed="false">
      <c r="A89" s="82"/>
      <c r="B89" s="69"/>
      <c r="C89" s="69"/>
      <c r="D89" s="69"/>
      <c r="E89" s="69"/>
      <c r="F89" s="69"/>
      <c r="G89" s="71"/>
      <c r="H89" s="71"/>
      <c r="I89" s="72"/>
      <c r="J89" s="73" t="str">
        <f aca="false">IF($I89="","",IFERROR($I89*INDEX(TAXAS,MATCH($H89,MOEDAS,0)),""))</f>
        <v/>
      </c>
      <c r="K89" s="69"/>
    </row>
    <row r="90" customFormat="false" ht="18" hidden="false" customHeight="true" outlineLevel="0" collapsed="false">
      <c r="A90" s="83"/>
      <c r="B90" s="84"/>
      <c r="C90" s="84"/>
      <c r="D90" s="84"/>
      <c r="E90" s="84"/>
      <c r="F90" s="84"/>
      <c r="G90" s="85"/>
      <c r="H90" s="85"/>
      <c r="I90" s="86"/>
      <c r="J90" s="73" t="str">
        <f aca="false">IF($I90="","",IFERROR($I90*INDEX(TAXAS,MATCH($H90,MOEDAS,0)),""))</f>
        <v/>
      </c>
      <c r="K90" s="84"/>
    </row>
    <row r="91" customFormat="false" ht="18" hidden="false" customHeight="true" outlineLevel="0" collapsed="false">
      <c r="A91" s="82"/>
      <c r="B91" s="69"/>
      <c r="C91" s="69"/>
      <c r="D91" s="69"/>
      <c r="E91" s="69"/>
      <c r="F91" s="69"/>
      <c r="G91" s="71"/>
      <c r="H91" s="71"/>
      <c r="I91" s="72"/>
      <c r="J91" s="73" t="str">
        <f aca="false">IF($I91="","",IFERROR($I91*INDEX(TAXAS,MATCH($H91,MOEDAS,0)),""))</f>
        <v/>
      </c>
      <c r="K91" s="69"/>
    </row>
    <row r="92" customFormat="false" ht="18" hidden="false" customHeight="true" outlineLevel="0" collapsed="false">
      <c r="A92" s="83"/>
      <c r="B92" s="84"/>
      <c r="C92" s="84"/>
      <c r="D92" s="84"/>
      <c r="E92" s="84"/>
      <c r="F92" s="84"/>
      <c r="G92" s="85"/>
      <c r="H92" s="85"/>
      <c r="I92" s="86"/>
      <c r="J92" s="73" t="str">
        <f aca="false">IF($I92="","",IFERROR($I92*INDEX(TAXAS,MATCH($H92,MOEDAS,0)),""))</f>
        <v/>
      </c>
      <c r="K92" s="84"/>
    </row>
    <row r="93" customFormat="false" ht="18" hidden="false" customHeight="true" outlineLevel="0" collapsed="false">
      <c r="A93" s="82"/>
      <c r="B93" s="69"/>
      <c r="C93" s="69"/>
      <c r="D93" s="69"/>
      <c r="E93" s="69"/>
      <c r="F93" s="69"/>
      <c r="G93" s="71"/>
      <c r="H93" s="71"/>
      <c r="I93" s="72"/>
      <c r="J93" s="73" t="str">
        <f aca="false">IF($I93="","",IFERROR($I93*INDEX(TAXAS,MATCH($H93,MOEDAS,0)),""))</f>
        <v/>
      </c>
      <c r="K93" s="69"/>
    </row>
    <row r="94" customFormat="false" ht="18" hidden="false" customHeight="true" outlineLevel="0" collapsed="false">
      <c r="A94" s="83"/>
      <c r="B94" s="84"/>
      <c r="C94" s="84"/>
      <c r="D94" s="84"/>
      <c r="E94" s="84"/>
      <c r="F94" s="84"/>
      <c r="G94" s="85"/>
      <c r="H94" s="85"/>
      <c r="I94" s="86"/>
      <c r="J94" s="73" t="str">
        <f aca="false">IF($I94="","",IFERROR($I94*INDEX(TAXAS,MATCH($H94,MOEDAS,0)),""))</f>
        <v/>
      </c>
      <c r="K94" s="84"/>
    </row>
    <row r="95" customFormat="false" ht="18" hidden="false" customHeight="true" outlineLevel="0" collapsed="false">
      <c r="A95" s="82"/>
      <c r="B95" s="69"/>
      <c r="C95" s="69"/>
      <c r="D95" s="69"/>
      <c r="E95" s="69"/>
      <c r="F95" s="69"/>
      <c r="G95" s="71"/>
      <c r="H95" s="71"/>
      <c r="I95" s="72"/>
      <c r="J95" s="73" t="str">
        <f aca="false">IF($I95="","",IFERROR($I95*INDEX(TAXAS,MATCH($H95,MOEDAS,0)),""))</f>
        <v/>
      </c>
      <c r="K95" s="69"/>
    </row>
    <row r="96" customFormat="false" ht="18" hidden="false" customHeight="true" outlineLevel="0" collapsed="false">
      <c r="A96" s="83"/>
      <c r="B96" s="84"/>
      <c r="C96" s="84"/>
      <c r="D96" s="84"/>
      <c r="E96" s="84"/>
      <c r="F96" s="84"/>
      <c r="G96" s="85"/>
      <c r="H96" s="85"/>
      <c r="I96" s="86"/>
      <c r="J96" s="73" t="str">
        <f aca="false">IF($I96="","",IFERROR($I96*INDEX(TAXAS,MATCH($H96,MOEDAS,0)),""))</f>
        <v/>
      </c>
      <c r="K96" s="84"/>
    </row>
    <row r="97" customFormat="false" ht="18" hidden="false" customHeight="true" outlineLevel="0" collapsed="false">
      <c r="A97" s="82"/>
      <c r="B97" s="69"/>
      <c r="C97" s="69"/>
      <c r="D97" s="69"/>
      <c r="E97" s="69"/>
      <c r="F97" s="69"/>
      <c r="G97" s="71"/>
      <c r="H97" s="71"/>
      <c r="I97" s="72"/>
      <c r="J97" s="73" t="str">
        <f aca="false">IF($I97="","",IFERROR($I97*INDEX(TAXAS,MATCH($H97,MOEDAS,0)),""))</f>
        <v/>
      </c>
      <c r="K97" s="69"/>
    </row>
    <row r="98" customFormat="false" ht="18" hidden="false" customHeight="true" outlineLevel="0" collapsed="false">
      <c r="A98" s="83"/>
      <c r="B98" s="84"/>
      <c r="C98" s="84"/>
      <c r="D98" s="84"/>
      <c r="E98" s="84"/>
      <c r="F98" s="84"/>
      <c r="G98" s="85"/>
      <c r="H98" s="85"/>
      <c r="I98" s="86"/>
      <c r="J98" s="73" t="str">
        <f aca="false">IF($I98="","",IFERROR($I98*INDEX(TAXAS,MATCH($H98,MOEDAS,0)),""))</f>
        <v/>
      </c>
      <c r="K98" s="84"/>
    </row>
    <row r="99" customFormat="false" ht="18" hidden="false" customHeight="true" outlineLevel="0" collapsed="false">
      <c r="A99" s="82"/>
      <c r="B99" s="69"/>
      <c r="C99" s="69"/>
      <c r="D99" s="69"/>
      <c r="E99" s="69"/>
      <c r="F99" s="69"/>
      <c r="G99" s="71"/>
      <c r="H99" s="71"/>
      <c r="I99" s="72"/>
      <c r="J99" s="73" t="str">
        <f aca="false">IF($I99="","",IFERROR($I99*INDEX(TAXAS,MATCH($H99,MOEDAS,0)),""))</f>
        <v/>
      </c>
      <c r="K99" s="69"/>
    </row>
    <row r="100" customFormat="false" ht="18" hidden="false" customHeight="true" outlineLevel="0" collapsed="false">
      <c r="A100" s="83"/>
      <c r="B100" s="84"/>
      <c r="C100" s="84"/>
      <c r="D100" s="84"/>
      <c r="E100" s="84"/>
      <c r="F100" s="84"/>
      <c r="G100" s="85"/>
      <c r="H100" s="85"/>
      <c r="I100" s="86"/>
      <c r="J100" s="73" t="str">
        <f aca="false">IF($I100="","",IFERROR($I100*INDEX(TAXAS,MATCH($H100,MOEDAS,0)),""))</f>
        <v/>
      </c>
      <c r="K100" s="84"/>
    </row>
    <row r="101" customFormat="false" ht="18" hidden="false" customHeight="true" outlineLevel="0" collapsed="false">
      <c r="A101" s="82"/>
      <c r="B101" s="69"/>
      <c r="C101" s="69"/>
      <c r="D101" s="69"/>
      <c r="E101" s="69"/>
      <c r="F101" s="69"/>
      <c r="G101" s="71"/>
      <c r="H101" s="71"/>
      <c r="I101" s="72"/>
      <c r="J101" s="73" t="str">
        <f aca="false">IF($I101="","",IFERROR($I101*INDEX(TAXAS,MATCH($H101,MOEDAS,0)),""))</f>
        <v/>
      </c>
      <c r="K101" s="69"/>
    </row>
    <row r="102" customFormat="false" ht="18" hidden="false" customHeight="true" outlineLevel="0" collapsed="false">
      <c r="A102" s="83"/>
      <c r="B102" s="84"/>
      <c r="C102" s="84"/>
      <c r="D102" s="84"/>
      <c r="E102" s="84"/>
      <c r="F102" s="84"/>
      <c r="G102" s="85"/>
      <c r="H102" s="85"/>
      <c r="I102" s="86"/>
      <c r="J102" s="73" t="str">
        <f aca="false">IF($I102="","",IFERROR($I102*INDEX(TAXAS,MATCH($H102,MOEDAS,0)),""))</f>
        <v/>
      </c>
      <c r="K102" s="84"/>
    </row>
    <row r="103" customFormat="false" ht="18" hidden="false" customHeight="true" outlineLevel="0" collapsed="false">
      <c r="A103" s="82"/>
      <c r="B103" s="69"/>
      <c r="C103" s="69"/>
      <c r="D103" s="69"/>
      <c r="E103" s="69"/>
      <c r="F103" s="69"/>
      <c r="G103" s="71"/>
      <c r="H103" s="71"/>
      <c r="I103" s="72"/>
      <c r="J103" s="73" t="str">
        <f aca="false">IF($I103="","",IFERROR($I103*INDEX(TAXAS,MATCH($H103,MOEDAS,0)),""))</f>
        <v/>
      </c>
      <c r="K103" s="69"/>
    </row>
    <row r="104" customFormat="false" ht="18" hidden="false" customHeight="true" outlineLevel="0" collapsed="false">
      <c r="A104" s="83"/>
      <c r="B104" s="84"/>
      <c r="C104" s="84"/>
      <c r="D104" s="84"/>
      <c r="E104" s="84"/>
      <c r="F104" s="84"/>
      <c r="G104" s="85"/>
      <c r="H104" s="85"/>
      <c r="I104" s="86"/>
      <c r="J104" s="73" t="str">
        <f aca="false">IF($I104="","",IFERROR($I104*INDEX(TAXAS,MATCH($H104,MOEDAS,0)),""))</f>
        <v/>
      </c>
      <c r="K104" s="84"/>
    </row>
    <row r="105" customFormat="false" ht="18" hidden="false" customHeight="true" outlineLevel="0" collapsed="false">
      <c r="A105" s="82"/>
      <c r="B105" s="69"/>
      <c r="C105" s="69"/>
      <c r="D105" s="69"/>
      <c r="E105" s="69"/>
      <c r="F105" s="69"/>
      <c r="G105" s="71"/>
      <c r="H105" s="71"/>
      <c r="I105" s="72"/>
      <c r="J105" s="73" t="str">
        <f aca="false">IF($I105="","",IFERROR($I105*INDEX(TAXAS,MATCH($H105,MOEDAS,0)),""))</f>
        <v/>
      </c>
      <c r="K105" s="69"/>
    </row>
    <row r="106" customFormat="false" ht="18" hidden="false" customHeight="true" outlineLevel="0" collapsed="false">
      <c r="A106" s="83"/>
      <c r="B106" s="84"/>
      <c r="C106" s="84"/>
      <c r="D106" s="84"/>
      <c r="E106" s="84"/>
      <c r="F106" s="84"/>
      <c r="G106" s="85"/>
      <c r="H106" s="85"/>
      <c r="I106" s="86"/>
      <c r="J106" s="73" t="str">
        <f aca="false">IF($I106="","",IFERROR($I106*INDEX(TAXAS,MATCH($H106,MOEDAS,0)),""))</f>
        <v/>
      </c>
      <c r="K106" s="84"/>
    </row>
    <row r="107" customFormat="false" ht="18" hidden="false" customHeight="true" outlineLevel="0" collapsed="false">
      <c r="A107" s="82"/>
      <c r="B107" s="69"/>
      <c r="C107" s="69"/>
      <c r="D107" s="69"/>
      <c r="E107" s="69"/>
      <c r="F107" s="69"/>
      <c r="G107" s="71"/>
      <c r="H107" s="71"/>
      <c r="I107" s="72"/>
      <c r="J107" s="73" t="str">
        <f aca="false">IF($I107="","",IFERROR($I107*INDEX(TAXAS,MATCH($H107,MOEDAS,0)),""))</f>
        <v/>
      </c>
      <c r="K107" s="69"/>
    </row>
    <row r="108" customFormat="false" ht="18" hidden="false" customHeight="true" outlineLevel="0" collapsed="false">
      <c r="A108" s="83"/>
      <c r="B108" s="84"/>
      <c r="C108" s="84"/>
      <c r="D108" s="84"/>
      <c r="E108" s="84"/>
      <c r="F108" s="84"/>
      <c r="G108" s="85"/>
      <c r="H108" s="85"/>
      <c r="I108" s="86"/>
      <c r="J108" s="73" t="str">
        <f aca="false">IF($I108="","",IFERROR($I108*INDEX(TAXAS,MATCH($H108,MOEDAS,0)),""))</f>
        <v/>
      </c>
      <c r="K108" s="84"/>
    </row>
    <row r="109" customFormat="false" ht="18" hidden="false" customHeight="true" outlineLevel="0" collapsed="false">
      <c r="A109" s="82"/>
      <c r="B109" s="69"/>
      <c r="C109" s="69"/>
      <c r="D109" s="69"/>
      <c r="E109" s="69"/>
      <c r="F109" s="69"/>
      <c r="G109" s="71"/>
      <c r="H109" s="71"/>
      <c r="I109" s="72"/>
      <c r="J109" s="73" t="str">
        <f aca="false">IF($I109="","",IFERROR($I109*INDEX(TAXAS,MATCH($H109,MOEDAS,0)),""))</f>
        <v/>
      </c>
      <c r="K109" s="69"/>
    </row>
    <row r="110" customFormat="false" ht="18" hidden="false" customHeight="true" outlineLevel="0" collapsed="false">
      <c r="A110" s="83"/>
      <c r="B110" s="84"/>
      <c r="C110" s="84"/>
      <c r="D110" s="84"/>
      <c r="E110" s="84"/>
      <c r="F110" s="84"/>
      <c r="G110" s="85"/>
      <c r="H110" s="85"/>
      <c r="I110" s="86"/>
      <c r="J110" s="73" t="str">
        <f aca="false">IF($I110="","",IFERROR($I110*INDEX(TAXAS,MATCH($H110,MOEDAS,0)),""))</f>
        <v/>
      </c>
      <c r="K110" s="84"/>
    </row>
    <row r="111" customFormat="false" ht="18" hidden="false" customHeight="true" outlineLevel="0" collapsed="false">
      <c r="A111" s="82"/>
      <c r="B111" s="69"/>
      <c r="C111" s="69"/>
      <c r="D111" s="69"/>
      <c r="E111" s="69"/>
      <c r="F111" s="69"/>
      <c r="G111" s="71"/>
      <c r="H111" s="71"/>
      <c r="I111" s="72"/>
      <c r="J111" s="73" t="str">
        <f aca="false">IF($I111="","",IFERROR($I111*INDEX(TAXAS,MATCH($H111,MOEDAS,0)),""))</f>
        <v/>
      </c>
      <c r="K111" s="69"/>
    </row>
    <row r="112" customFormat="false" ht="18" hidden="false" customHeight="true" outlineLevel="0" collapsed="false">
      <c r="A112" s="83"/>
      <c r="B112" s="84"/>
      <c r="C112" s="84"/>
      <c r="D112" s="84"/>
      <c r="E112" s="84"/>
      <c r="F112" s="84"/>
      <c r="G112" s="85"/>
      <c r="H112" s="85"/>
      <c r="I112" s="86"/>
      <c r="J112" s="73" t="str">
        <f aca="false">IF($I112="","",IFERROR($I112*INDEX(TAXAS,MATCH($H112,MOEDAS,0)),""))</f>
        <v/>
      </c>
      <c r="K112" s="84"/>
    </row>
    <row r="113" customFormat="false" ht="18" hidden="false" customHeight="true" outlineLevel="0" collapsed="false">
      <c r="A113" s="82"/>
      <c r="B113" s="69"/>
      <c r="C113" s="69"/>
      <c r="D113" s="69"/>
      <c r="E113" s="69"/>
      <c r="F113" s="69"/>
      <c r="G113" s="71"/>
      <c r="H113" s="71"/>
      <c r="I113" s="72"/>
      <c r="J113" s="73" t="str">
        <f aca="false">IF($I113="","",IFERROR($I113*INDEX(TAXAS,MATCH($H113,MOEDAS,0)),""))</f>
        <v/>
      </c>
      <c r="K113" s="69"/>
    </row>
    <row r="114" customFormat="false" ht="18" hidden="false" customHeight="true" outlineLevel="0" collapsed="false">
      <c r="A114" s="83"/>
      <c r="B114" s="84"/>
      <c r="C114" s="84"/>
      <c r="D114" s="84"/>
      <c r="E114" s="84"/>
      <c r="F114" s="84"/>
      <c r="G114" s="85"/>
      <c r="H114" s="85"/>
      <c r="I114" s="86"/>
      <c r="J114" s="73" t="str">
        <f aca="false">IF($I114="","",IFERROR($I114*INDEX(TAXAS,MATCH($H114,MOEDAS,0)),""))</f>
        <v/>
      </c>
      <c r="K114" s="84"/>
    </row>
    <row r="115" customFormat="false" ht="18" hidden="false" customHeight="true" outlineLevel="0" collapsed="false">
      <c r="A115" s="82"/>
      <c r="B115" s="69"/>
      <c r="C115" s="69"/>
      <c r="D115" s="69"/>
      <c r="E115" s="69"/>
      <c r="F115" s="69"/>
      <c r="G115" s="71"/>
      <c r="H115" s="71"/>
      <c r="I115" s="72"/>
      <c r="J115" s="73" t="str">
        <f aca="false">IF($I115="","",IFERROR($I115*INDEX(TAXAS,MATCH($H115,MOEDAS,0)),""))</f>
        <v/>
      </c>
      <c r="K115" s="69"/>
    </row>
    <row r="116" customFormat="false" ht="18" hidden="false" customHeight="true" outlineLevel="0" collapsed="false">
      <c r="A116" s="83"/>
      <c r="B116" s="84"/>
      <c r="C116" s="84"/>
      <c r="D116" s="84"/>
      <c r="E116" s="84"/>
      <c r="F116" s="84"/>
      <c r="G116" s="85"/>
      <c r="H116" s="85"/>
      <c r="I116" s="86"/>
      <c r="J116" s="73" t="str">
        <f aca="false">IF($I116="","",IFERROR($I116*INDEX(TAXAS,MATCH($H116,MOEDAS,0)),""))</f>
        <v/>
      </c>
      <c r="K116" s="84"/>
    </row>
    <row r="117" customFormat="false" ht="18" hidden="false" customHeight="true" outlineLevel="0" collapsed="false">
      <c r="A117" s="82"/>
      <c r="B117" s="69"/>
      <c r="C117" s="69"/>
      <c r="D117" s="69"/>
      <c r="E117" s="69"/>
      <c r="F117" s="69"/>
      <c r="G117" s="71"/>
      <c r="H117" s="71"/>
      <c r="I117" s="72"/>
      <c r="J117" s="73" t="str">
        <f aca="false">IF($I117="","",IFERROR($I117*INDEX(TAXAS,MATCH($H117,MOEDAS,0)),""))</f>
        <v/>
      </c>
      <c r="K117" s="69"/>
    </row>
    <row r="118" customFormat="false" ht="18" hidden="false" customHeight="true" outlineLevel="0" collapsed="false">
      <c r="A118" s="83"/>
      <c r="B118" s="84"/>
      <c r="C118" s="84"/>
      <c r="D118" s="84"/>
      <c r="E118" s="84"/>
      <c r="F118" s="84"/>
      <c r="G118" s="85"/>
      <c r="H118" s="85"/>
      <c r="I118" s="86"/>
      <c r="J118" s="73" t="str">
        <f aca="false">IF($I118="","",IFERROR($I118*INDEX(TAXAS,MATCH($H118,MOEDAS,0)),""))</f>
        <v/>
      </c>
      <c r="K118" s="84"/>
    </row>
    <row r="119" customFormat="false" ht="18" hidden="false" customHeight="true" outlineLevel="0" collapsed="false">
      <c r="A119" s="82"/>
      <c r="B119" s="69"/>
      <c r="C119" s="69"/>
      <c r="D119" s="69"/>
      <c r="E119" s="69"/>
      <c r="F119" s="69"/>
      <c r="G119" s="71"/>
      <c r="H119" s="71"/>
      <c r="I119" s="72"/>
      <c r="J119" s="73" t="str">
        <f aca="false">IF($I119="","",IFERROR($I119*INDEX(TAXAS,MATCH($H119,MOEDAS,0)),""))</f>
        <v/>
      </c>
      <c r="K119" s="69"/>
    </row>
    <row r="120" customFormat="false" ht="18" hidden="false" customHeight="true" outlineLevel="0" collapsed="false">
      <c r="A120" s="83"/>
      <c r="B120" s="84"/>
      <c r="C120" s="84"/>
      <c r="D120" s="84"/>
      <c r="E120" s="84"/>
      <c r="F120" s="84"/>
      <c r="G120" s="85"/>
      <c r="H120" s="85"/>
      <c r="I120" s="86"/>
      <c r="J120" s="73" t="str">
        <f aca="false">IF($I120="","",IFERROR($I120*INDEX(TAXAS,MATCH($H120,MOEDAS,0)),""))</f>
        <v/>
      </c>
      <c r="K120" s="84"/>
    </row>
    <row r="121" customFormat="false" ht="18" hidden="false" customHeight="true" outlineLevel="0" collapsed="false">
      <c r="A121" s="82"/>
      <c r="B121" s="69"/>
      <c r="C121" s="69"/>
      <c r="D121" s="69"/>
      <c r="E121" s="69"/>
      <c r="F121" s="69"/>
      <c r="G121" s="71"/>
      <c r="H121" s="71"/>
      <c r="I121" s="72"/>
      <c r="J121" s="73" t="str">
        <f aca="false">IF($I121="","",IFERROR($I121*INDEX(TAXAS,MATCH($H121,MOEDAS,0)),""))</f>
        <v/>
      </c>
      <c r="K121" s="69"/>
    </row>
    <row r="122" customFormat="false" ht="18" hidden="false" customHeight="true" outlineLevel="0" collapsed="false">
      <c r="A122" s="83"/>
      <c r="B122" s="84"/>
      <c r="C122" s="84"/>
      <c r="D122" s="84"/>
      <c r="E122" s="84"/>
      <c r="F122" s="84"/>
      <c r="G122" s="85"/>
      <c r="H122" s="85"/>
      <c r="I122" s="86"/>
      <c r="J122" s="73" t="str">
        <f aca="false">IF($I122="","",IFERROR($I122*INDEX(TAXAS,MATCH($H122,MOEDAS,0)),""))</f>
        <v/>
      </c>
      <c r="K122" s="84"/>
    </row>
    <row r="123" customFormat="false" ht="18" hidden="false" customHeight="true" outlineLevel="0" collapsed="false">
      <c r="A123" s="82"/>
      <c r="B123" s="69"/>
      <c r="C123" s="69"/>
      <c r="D123" s="69"/>
      <c r="E123" s="69"/>
      <c r="F123" s="69"/>
      <c r="G123" s="71"/>
      <c r="H123" s="71"/>
      <c r="I123" s="72"/>
      <c r="J123" s="73" t="str">
        <f aca="false">IF($I123="","",IFERROR($I123*INDEX(TAXAS,MATCH($H123,MOEDAS,0)),""))</f>
        <v/>
      </c>
      <c r="K123" s="69"/>
    </row>
    <row r="124" customFormat="false" ht="18" hidden="false" customHeight="true" outlineLevel="0" collapsed="false">
      <c r="A124" s="83"/>
      <c r="B124" s="84"/>
      <c r="C124" s="84"/>
      <c r="D124" s="84"/>
      <c r="E124" s="84"/>
      <c r="F124" s="84"/>
      <c r="G124" s="85"/>
      <c r="H124" s="85"/>
      <c r="I124" s="86"/>
      <c r="J124" s="73" t="str">
        <f aca="false">IF($I124="","",IFERROR($I124*INDEX(TAXAS,MATCH($H124,MOEDAS,0)),""))</f>
        <v/>
      </c>
      <c r="K124" s="84"/>
    </row>
    <row r="125" customFormat="false" ht="18" hidden="false" customHeight="true" outlineLevel="0" collapsed="false">
      <c r="A125" s="82"/>
      <c r="B125" s="69"/>
      <c r="C125" s="69"/>
      <c r="D125" s="69"/>
      <c r="E125" s="69"/>
      <c r="F125" s="69"/>
      <c r="G125" s="71"/>
      <c r="H125" s="71"/>
      <c r="I125" s="72"/>
      <c r="J125" s="73" t="str">
        <f aca="false">IF($I125="","",IFERROR($I125*INDEX(TAXAS,MATCH($H125,MOEDAS,0)),""))</f>
        <v/>
      </c>
      <c r="K125" s="69"/>
    </row>
    <row r="126" customFormat="false" ht="18" hidden="false" customHeight="true" outlineLevel="0" collapsed="false">
      <c r="A126" s="83"/>
      <c r="B126" s="84"/>
      <c r="C126" s="84"/>
      <c r="D126" s="84"/>
      <c r="E126" s="84"/>
      <c r="F126" s="84"/>
      <c r="G126" s="85"/>
      <c r="H126" s="85"/>
      <c r="I126" s="86"/>
      <c r="J126" s="73" t="str">
        <f aca="false">IF($I126="","",IFERROR($I126*INDEX(TAXAS,MATCH($H126,MOEDAS,0)),""))</f>
        <v/>
      </c>
      <c r="K126" s="84"/>
    </row>
    <row r="127" customFormat="false" ht="18" hidden="false" customHeight="true" outlineLevel="0" collapsed="false">
      <c r="A127" s="82"/>
      <c r="B127" s="69"/>
      <c r="C127" s="69"/>
      <c r="D127" s="69"/>
      <c r="E127" s="69"/>
      <c r="F127" s="69"/>
      <c r="G127" s="71"/>
      <c r="H127" s="71"/>
      <c r="I127" s="72"/>
      <c r="J127" s="73" t="str">
        <f aca="false">IF($I127="","",IFERROR($I127*INDEX(TAXAS,MATCH($H127,MOEDAS,0)),""))</f>
        <v/>
      </c>
      <c r="K127" s="69"/>
    </row>
    <row r="128" customFormat="false" ht="18" hidden="false" customHeight="true" outlineLevel="0" collapsed="false">
      <c r="A128" s="83"/>
      <c r="B128" s="84"/>
      <c r="C128" s="84"/>
      <c r="D128" s="84"/>
      <c r="E128" s="84"/>
      <c r="F128" s="84"/>
      <c r="G128" s="85"/>
      <c r="H128" s="85"/>
      <c r="I128" s="86"/>
      <c r="J128" s="73" t="str">
        <f aca="false">IF($I128="","",IFERROR($I128*INDEX(TAXAS,MATCH($H128,MOEDAS,0)),""))</f>
        <v/>
      </c>
      <c r="K128" s="84"/>
    </row>
    <row r="129" customFormat="false" ht="18" hidden="false" customHeight="true" outlineLevel="0" collapsed="false">
      <c r="A129" s="82"/>
      <c r="B129" s="69"/>
      <c r="C129" s="69"/>
      <c r="D129" s="69"/>
      <c r="E129" s="69"/>
      <c r="F129" s="69"/>
      <c r="G129" s="71"/>
      <c r="H129" s="71"/>
      <c r="I129" s="72"/>
      <c r="J129" s="73" t="str">
        <f aca="false">IF($I129="","",IFERROR($I129*INDEX(TAXAS,MATCH($H129,MOEDAS,0)),""))</f>
        <v/>
      </c>
      <c r="K129" s="69"/>
    </row>
    <row r="130" customFormat="false" ht="18" hidden="false" customHeight="true" outlineLevel="0" collapsed="false">
      <c r="A130" s="83"/>
      <c r="B130" s="84"/>
      <c r="C130" s="84"/>
      <c r="D130" s="84"/>
      <c r="E130" s="84"/>
      <c r="F130" s="84"/>
      <c r="G130" s="85"/>
      <c r="H130" s="85"/>
      <c r="I130" s="86"/>
      <c r="J130" s="73" t="str">
        <f aca="false">IF($I130="","",IFERROR($I130*INDEX(TAXAS,MATCH($H130,MOEDAS,0)),""))</f>
        <v/>
      </c>
      <c r="K130" s="84"/>
    </row>
    <row r="131" customFormat="false" ht="18" hidden="false" customHeight="true" outlineLevel="0" collapsed="false">
      <c r="A131" s="82"/>
      <c r="B131" s="69"/>
      <c r="C131" s="69"/>
      <c r="D131" s="69"/>
      <c r="E131" s="69"/>
      <c r="F131" s="69"/>
      <c r="G131" s="71"/>
      <c r="H131" s="71"/>
      <c r="I131" s="72"/>
      <c r="J131" s="73" t="str">
        <f aca="false">IF($I131="","",IFERROR($I131*INDEX(TAXAS,MATCH($H131,MOEDAS,0)),""))</f>
        <v/>
      </c>
      <c r="K131" s="69"/>
    </row>
    <row r="132" customFormat="false" ht="18" hidden="false" customHeight="true" outlineLevel="0" collapsed="false">
      <c r="A132" s="83"/>
      <c r="B132" s="84"/>
      <c r="C132" s="84"/>
      <c r="D132" s="84"/>
      <c r="E132" s="84"/>
      <c r="F132" s="84"/>
      <c r="G132" s="85"/>
      <c r="H132" s="85"/>
      <c r="I132" s="86"/>
      <c r="J132" s="73" t="str">
        <f aca="false">IF($I132="","",IFERROR($I132*INDEX(TAXAS,MATCH($H132,MOEDAS,0)),""))</f>
        <v/>
      </c>
      <c r="K132" s="84"/>
    </row>
    <row r="133" customFormat="false" ht="18" hidden="false" customHeight="true" outlineLevel="0" collapsed="false">
      <c r="A133" s="82"/>
      <c r="B133" s="69"/>
      <c r="C133" s="69"/>
      <c r="D133" s="69"/>
      <c r="E133" s="69"/>
      <c r="F133" s="69"/>
      <c r="G133" s="71"/>
      <c r="H133" s="71"/>
      <c r="I133" s="72"/>
      <c r="J133" s="73" t="str">
        <f aca="false">IF($I133="","",IFERROR($I133*INDEX(TAXAS,MATCH($H133,MOEDAS,0)),""))</f>
        <v/>
      </c>
      <c r="K133" s="69"/>
    </row>
    <row r="134" customFormat="false" ht="18" hidden="false" customHeight="true" outlineLevel="0" collapsed="false">
      <c r="A134" s="83"/>
      <c r="B134" s="84"/>
      <c r="C134" s="84"/>
      <c r="D134" s="84"/>
      <c r="E134" s="84"/>
      <c r="F134" s="84"/>
      <c r="G134" s="85"/>
      <c r="H134" s="85"/>
      <c r="I134" s="86"/>
      <c r="J134" s="73" t="str">
        <f aca="false">IF($I134="","",IFERROR($I134*INDEX(TAXAS,MATCH($H134,MOEDAS,0)),""))</f>
        <v/>
      </c>
      <c r="K134" s="84"/>
    </row>
    <row r="135" customFormat="false" ht="18" hidden="false" customHeight="true" outlineLevel="0" collapsed="false">
      <c r="A135" s="82"/>
      <c r="B135" s="69"/>
      <c r="C135" s="69"/>
      <c r="D135" s="69"/>
      <c r="E135" s="69"/>
      <c r="F135" s="69"/>
      <c r="G135" s="71"/>
      <c r="H135" s="71"/>
      <c r="I135" s="72"/>
      <c r="J135" s="73" t="str">
        <f aca="false">IF($I135="","",IFERROR($I135*INDEX(TAXAS,MATCH($H135,MOEDAS,0)),""))</f>
        <v/>
      </c>
      <c r="K135" s="69"/>
    </row>
    <row r="136" customFormat="false" ht="18" hidden="false" customHeight="true" outlineLevel="0" collapsed="false">
      <c r="A136" s="83"/>
      <c r="B136" s="84"/>
      <c r="C136" s="84"/>
      <c r="D136" s="84"/>
      <c r="E136" s="84"/>
      <c r="F136" s="84"/>
      <c r="G136" s="85"/>
      <c r="H136" s="85"/>
      <c r="I136" s="86"/>
      <c r="J136" s="73" t="str">
        <f aca="false">IF($I136="","",IFERROR($I136*INDEX(TAXAS,MATCH($H136,MOEDAS,0)),""))</f>
        <v/>
      </c>
      <c r="K136" s="84"/>
    </row>
    <row r="137" customFormat="false" ht="18" hidden="false" customHeight="true" outlineLevel="0" collapsed="false">
      <c r="A137" s="82"/>
      <c r="B137" s="69"/>
      <c r="C137" s="69"/>
      <c r="D137" s="69"/>
      <c r="E137" s="69"/>
      <c r="F137" s="69"/>
      <c r="G137" s="71"/>
      <c r="H137" s="71"/>
      <c r="I137" s="72"/>
      <c r="J137" s="73" t="str">
        <f aca="false">IF($I137="","",IFERROR($I137*INDEX(TAXAS,MATCH($H137,MOEDAS,0)),""))</f>
        <v/>
      </c>
      <c r="K137" s="69"/>
    </row>
    <row r="138" customFormat="false" ht="18" hidden="false" customHeight="true" outlineLevel="0" collapsed="false">
      <c r="A138" s="83"/>
      <c r="B138" s="84"/>
      <c r="C138" s="84"/>
      <c r="D138" s="84"/>
      <c r="E138" s="84"/>
      <c r="F138" s="84"/>
      <c r="G138" s="85"/>
      <c r="H138" s="85"/>
      <c r="I138" s="86"/>
      <c r="J138" s="73" t="str">
        <f aca="false">IF($I138="","",IFERROR($I138*INDEX(TAXAS,MATCH($H138,MOEDAS,0)),""))</f>
        <v/>
      </c>
      <c r="K138" s="84"/>
    </row>
    <row r="139" customFormat="false" ht="18" hidden="false" customHeight="true" outlineLevel="0" collapsed="false">
      <c r="A139" s="82"/>
      <c r="B139" s="69"/>
      <c r="C139" s="69"/>
      <c r="D139" s="69"/>
      <c r="E139" s="69"/>
      <c r="F139" s="69"/>
      <c r="G139" s="71"/>
      <c r="H139" s="71"/>
      <c r="I139" s="72"/>
      <c r="J139" s="73" t="str">
        <f aca="false">IF($I139="","",IFERROR($I139*INDEX(TAXAS,MATCH($H139,MOEDAS,0)),""))</f>
        <v/>
      </c>
      <c r="K139" s="69"/>
    </row>
    <row r="140" customFormat="false" ht="18" hidden="false" customHeight="true" outlineLevel="0" collapsed="false">
      <c r="A140" s="83"/>
      <c r="B140" s="84"/>
      <c r="C140" s="84"/>
      <c r="D140" s="84"/>
      <c r="E140" s="84"/>
      <c r="F140" s="84"/>
      <c r="G140" s="85"/>
      <c r="H140" s="85"/>
      <c r="I140" s="86"/>
      <c r="J140" s="73" t="str">
        <f aca="false">IF($I140="","",IFERROR($I140*INDEX(TAXAS,MATCH($H140,MOEDAS,0)),""))</f>
        <v/>
      </c>
      <c r="K140" s="84"/>
    </row>
    <row r="141" customFormat="false" ht="18" hidden="false" customHeight="true" outlineLevel="0" collapsed="false">
      <c r="A141" s="82"/>
      <c r="B141" s="69"/>
      <c r="C141" s="69"/>
      <c r="D141" s="69"/>
      <c r="E141" s="69"/>
      <c r="F141" s="69"/>
      <c r="G141" s="71"/>
      <c r="H141" s="71"/>
      <c r="I141" s="72"/>
      <c r="J141" s="73" t="str">
        <f aca="false">IF($I141="","",IFERROR($I141*INDEX(TAXAS,MATCH($H141,MOEDAS,0)),""))</f>
        <v/>
      </c>
      <c r="K141" s="69"/>
    </row>
    <row r="142" customFormat="false" ht="18" hidden="false" customHeight="true" outlineLevel="0" collapsed="false">
      <c r="A142" s="83"/>
      <c r="B142" s="84"/>
      <c r="C142" s="84"/>
      <c r="D142" s="84"/>
      <c r="E142" s="84"/>
      <c r="F142" s="84"/>
      <c r="G142" s="85"/>
      <c r="H142" s="85"/>
      <c r="I142" s="86"/>
      <c r="J142" s="73" t="str">
        <f aca="false">IF($I142="","",IFERROR($I142*INDEX(TAXAS,MATCH($H142,MOEDAS,0)),""))</f>
        <v/>
      </c>
      <c r="K142" s="84"/>
    </row>
    <row r="143" customFormat="false" ht="18" hidden="false" customHeight="true" outlineLevel="0" collapsed="false">
      <c r="A143" s="82"/>
      <c r="B143" s="69"/>
      <c r="C143" s="69"/>
      <c r="D143" s="69"/>
      <c r="E143" s="69"/>
      <c r="F143" s="69"/>
      <c r="G143" s="71"/>
      <c r="H143" s="71"/>
      <c r="I143" s="72"/>
      <c r="J143" s="73" t="str">
        <f aca="false">IF($I143="","",IFERROR($I143*INDEX(TAXAS,MATCH($H143,MOEDAS,0)),""))</f>
        <v/>
      </c>
      <c r="K143" s="69"/>
    </row>
    <row r="144" customFormat="false" ht="18" hidden="false" customHeight="true" outlineLevel="0" collapsed="false">
      <c r="A144" s="83"/>
      <c r="B144" s="84"/>
      <c r="C144" s="84"/>
      <c r="D144" s="84"/>
      <c r="E144" s="84"/>
      <c r="F144" s="84"/>
      <c r="G144" s="85"/>
      <c r="H144" s="85"/>
      <c r="I144" s="86"/>
      <c r="J144" s="73" t="str">
        <f aca="false">IF($I144="","",IFERROR($I144*INDEX(TAXAS,MATCH($H144,MOEDAS,0)),""))</f>
        <v/>
      </c>
      <c r="K144" s="84"/>
    </row>
    <row r="145" customFormat="false" ht="18" hidden="false" customHeight="true" outlineLevel="0" collapsed="false">
      <c r="A145" s="82"/>
      <c r="B145" s="69"/>
      <c r="C145" s="69"/>
      <c r="D145" s="69"/>
      <c r="E145" s="69"/>
      <c r="F145" s="69"/>
      <c r="G145" s="71"/>
      <c r="H145" s="71"/>
      <c r="I145" s="72"/>
      <c r="J145" s="73" t="str">
        <f aca="false">IF($I145="","",IFERROR($I145*INDEX(TAXAS,MATCH($H145,MOEDAS,0)),""))</f>
        <v/>
      </c>
      <c r="K145" s="69"/>
    </row>
    <row r="146" customFormat="false" ht="18" hidden="false" customHeight="true" outlineLevel="0" collapsed="false">
      <c r="A146" s="83"/>
      <c r="B146" s="84"/>
      <c r="C146" s="84"/>
      <c r="D146" s="84"/>
      <c r="E146" s="84"/>
      <c r="F146" s="84"/>
      <c r="G146" s="85"/>
      <c r="H146" s="85"/>
      <c r="I146" s="86"/>
      <c r="J146" s="73" t="str">
        <f aca="false">IF($I146="","",IFERROR($I146*INDEX(TAXAS,MATCH($H146,MOEDAS,0)),""))</f>
        <v/>
      </c>
      <c r="K146" s="84"/>
    </row>
    <row r="147" customFormat="false" ht="18" hidden="false" customHeight="true" outlineLevel="0" collapsed="false">
      <c r="A147" s="82"/>
      <c r="B147" s="69"/>
      <c r="C147" s="69"/>
      <c r="D147" s="69"/>
      <c r="E147" s="69"/>
      <c r="F147" s="69"/>
      <c r="G147" s="71"/>
      <c r="H147" s="71"/>
      <c r="I147" s="72"/>
      <c r="J147" s="73" t="str">
        <f aca="false">IF($I147="","",IFERROR($I147*INDEX(TAXAS,MATCH($H147,MOEDAS,0)),""))</f>
        <v/>
      </c>
      <c r="K147" s="69"/>
    </row>
    <row r="148" customFormat="false" ht="18" hidden="false" customHeight="true" outlineLevel="0" collapsed="false">
      <c r="A148" s="83"/>
      <c r="B148" s="84"/>
      <c r="C148" s="84"/>
      <c r="D148" s="84"/>
      <c r="E148" s="84"/>
      <c r="F148" s="84"/>
      <c r="G148" s="85"/>
      <c r="H148" s="85"/>
      <c r="I148" s="86"/>
      <c r="J148" s="73" t="str">
        <f aca="false">IF($I148="","",IFERROR($I148*INDEX(TAXAS,MATCH($H148,MOEDAS,0)),""))</f>
        <v/>
      </c>
      <c r="K148" s="84"/>
    </row>
    <row r="149" customFormat="false" ht="18" hidden="false" customHeight="true" outlineLevel="0" collapsed="false">
      <c r="A149" s="82"/>
      <c r="B149" s="69"/>
      <c r="C149" s="69"/>
      <c r="D149" s="69"/>
      <c r="E149" s="69"/>
      <c r="F149" s="69"/>
      <c r="G149" s="71"/>
      <c r="H149" s="71"/>
      <c r="I149" s="72"/>
      <c r="J149" s="73" t="str">
        <f aca="false">IF($I149="","",IFERROR($I149*INDEX(TAXAS,MATCH($H149,MOEDAS,0)),""))</f>
        <v/>
      </c>
      <c r="K149" s="69"/>
    </row>
    <row r="150" customFormat="false" ht="18" hidden="false" customHeight="true" outlineLevel="0" collapsed="false">
      <c r="A150" s="83"/>
      <c r="B150" s="84"/>
      <c r="C150" s="84"/>
      <c r="D150" s="84"/>
      <c r="E150" s="84"/>
      <c r="F150" s="84"/>
      <c r="G150" s="85"/>
      <c r="H150" s="85"/>
      <c r="I150" s="86"/>
      <c r="J150" s="73" t="str">
        <f aca="false">IF($I150="","",IFERROR($I150*INDEX(TAXAS,MATCH($H150,MOEDAS,0)),""))</f>
        <v/>
      </c>
      <c r="K150" s="84"/>
    </row>
    <row r="151" customFormat="false" ht="18" hidden="false" customHeight="true" outlineLevel="0" collapsed="false">
      <c r="A151" s="82"/>
      <c r="B151" s="69"/>
      <c r="C151" s="69"/>
      <c r="D151" s="69"/>
      <c r="E151" s="69"/>
      <c r="F151" s="69"/>
      <c r="G151" s="71"/>
      <c r="H151" s="71"/>
      <c r="I151" s="72"/>
      <c r="J151" s="73" t="str">
        <f aca="false">IF($I151="","",IFERROR($I151*INDEX(TAXAS,MATCH($H151,MOEDAS,0)),""))</f>
        <v/>
      </c>
      <c r="K151" s="69"/>
    </row>
    <row r="152" customFormat="false" ht="18" hidden="false" customHeight="true" outlineLevel="0" collapsed="false">
      <c r="A152" s="83"/>
      <c r="B152" s="84"/>
      <c r="C152" s="84"/>
      <c r="D152" s="84"/>
      <c r="E152" s="84"/>
      <c r="F152" s="84"/>
      <c r="G152" s="85"/>
      <c r="H152" s="85"/>
      <c r="I152" s="86"/>
      <c r="J152" s="73" t="str">
        <f aca="false">IF($I152="","",IFERROR($I152*INDEX(TAXAS,MATCH($H152,MOEDAS,0)),""))</f>
        <v/>
      </c>
      <c r="K152" s="84"/>
    </row>
    <row r="153" customFormat="false" ht="18" hidden="false" customHeight="true" outlineLevel="0" collapsed="false">
      <c r="A153" s="82"/>
      <c r="B153" s="69"/>
      <c r="C153" s="69"/>
      <c r="D153" s="69"/>
      <c r="E153" s="69"/>
      <c r="F153" s="69"/>
      <c r="G153" s="71"/>
      <c r="H153" s="71"/>
      <c r="I153" s="72"/>
      <c r="J153" s="73" t="str">
        <f aca="false">IF($I153="","",IFERROR($I153*INDEX(TAXAS,MATCH($H153,MOEDAS,0)),""))</f>
        <v/>
      </c>
      <c r="K153" s="69"/>
    </row>
    <row r="154" customFormat="false" ht="18" hidden="false" customHeight="true" outlineLevel="0" collapsed="false">
      <c r="A154" s="83"/>
      <c r="B154" s="84"/>
      <c r="C154" s="84"/>
      <c r="D154" s="84"/>
      <c r="E154" s="84"/>
      <c r="F154" s="84"/>
      <c r="G154" s="85"/>
      <c r="H154" s="85"/>
      <c r="I154" s="86"/>
      <c r="J154" s="73" t="str">
        <f aca="false">IF($I154="","",IFERROR($I154*INDEX(TAXAS,MATCH($H154,MOEDAS,0)),""))</f>
        <v/>
      </c>
      <c r="K154" s="84"/>
    </row>
    <row r="155" customFormat="false" ht="18" hidden="false" customHeight="true" outlineLevel="0" collapsed="false">
      <c r="A155" s="82"/>
      <c r="B155" s="69"/>
      <c r="C155" s="69"/>
      <c r="D155" s="69"/>
      <c r="E155" s="69"/>
      <c r="F155" s="69"/>
      <c r="G155" s="71"/>
      <c r="H155" s="71"/>
      <c r="I155" s="72"/>
      <c r="J155" s="73" t="str">
        <f aca="false">IF($I155="","",IFERROR($I155*INDEX(TAXAS,MATCH($H155,MOEDAS,0)),""))</f>
        <v/>
      </c>
      <c r="K155" s="69"/>
    </row>
    <row r="156" customFormat="false" ht="18" hidden="false" customHeight="true" outlineLevel="0" collapsed="false">
      <c r="A156" s="83"/>
      <c r="B156" s="84"/>
      <c r="C156" s="84"/>
      <c r="D156" s="84"/>
      <c r="E156" s="84"/>
      <c r="F156" s="84"/>
      <c r="G156" s="85"/>
      <c r="H156" s="85"/>
      <c r="I156" s="86"/>
      <c r="J156" s="73" t="str">
        <f aca="false">IF($I156="","",IFERROR($I156*INDEX(TAXAS,MATCH($H156,MOEDAS,0)),""))</f>
        <v/>
      </c>
      <c r="K156" s="84"/>
    </row>
    <row r="157" customFormat="false" ht="18" hidden="false" customHeight="true" outlineLevel="0" collapsed="false">
      <c r="A157" s="82"/>
      <c r="B157" s="69"/>
      <c r="C157" s="69"/>
      <c r="D157" s="69"/>
      <c r="E157" s="69"/>
      <c r="F157" s="69"/>
      <c r="G157" s="71"/>
      <c r="H157" s="71"/>
      <c r="I157" s="72"/>
      <c r="J157" s="73" t="str">
        <f aca="false">IF($I157="","",IFERROR($I157*INDEX(TAXAS,MATCH($H157,MOEDAS,0)),""))</f>
        <v/>
      </c>
      <c r="K157" s="69"/>
    </row>
    <row r="158" customFormat="false" ht="18" hidden="false" customHeight="true" outlineLevel="0" collapsed="false">
      <c r="A158" s="83"/>
      <c r="B158" s="84"/>
      <c r="C158" s="84"/>
      <c r="D158" s="84"/>
      <c r="E158" s="84"/>
      <c r="F158" s="84"/>
      <c r="G158" s="85"/>
      <c r="H158" s="85"/>
      <c r="I158" s="86"/>
      <c r="J158" s="73" t="str">
        <f aca="false">IF($I158="","",IFERROR($I158*INDEX(TAXAS,MATCH($H158,MOEDAS,0)),""))</f>
        <v/>
      </c>
      <c r="K158" s="84"/>
    </row>
    <row r="159" customFormat="false" ht="18" hidden="false" customHeight="true" outlineLevel="0" collapsed="false">
      <c r="A159" s="82"/>
      <c r="B159" s="69"/>
      <c r="C159" s="69"/>
      <c r="D159" s="69"/>
      <c r="E159" s="69"/>
      <c r="F159" s="69"/>
      <c r="G159" s="71"/>
      <c r="H159" s="71"/>
      <c r="I159" s="72"/>
      <c r="J159" s="73" t="str">
        <f aca="false">IF($I159="","",IFERROR($I159*INDEX(TAXAS,MATCH($H159,MOEDAS,0)),""))</f>
        <v/>
      </c>
      <c r="K159" s="69"/>
    </row>
    <row r="160" customFormat="false" ht="18" hidden="false" customHeight="true" outlineLevel="0" collapsed="false">
      <c r="A160" s="83"/>
      <c r="B160" s="84"/>
      <c r="C160" s="84"/>
      <c r="D160" s="84"/>
      <c r="E160" s="84"/>
      <c r="F160" s="84"/>
      <c r="G160" s="85"/>
      <c r="H160" s="85"/>
      <c r="I160" s="86"/>
      <c r="J160" s="73" t="str">
        <f aca="false">IF($I160="","",IFERROR($I160*INDEX(TAXAS,MATCH($H160,MOEDAS,0)),""))</f>
        <v/>
      </c>
      <c r="K160" s="84"/>
    </row>
    <row r="161" customFormat="false" ht="18" hidden="false" customHeight="true" outlineLevel="0" collapsed="false">
      <c r="A161" s="82"/>
      <c r="B161" s="69"/>
      <c r="C161" s="69"/>
      <c r="D161" s="69"/>
      <c r="E161" s="69"/>
      <c r="F161" s="69"/>
      <c r="G161" s="71"/>
      <c r="H161" s="71"/>
      <c r="I161" s="72"/>
      <c r="J161" s="73" t="str">
        <f aca="false">IF($I161="","",IFERROR($I161*INDEX(TAXAS,MATCH($H161,MOEDAS,0)),""))</f>
        <v/>
      </c>
      <c r="K161" s="69"/>
    </row>
    <row r="162" customFormat="false" ht="18" hidden="false" customHeight="true" outlineLevel="0" collapsed="false">
      <c r="A162" s="83"/>
      <c r="B162" s="84"/>
      <c r="C162" s="84"/>
      <c r="D162" s="84"/>
      <c r="E162" s="84"/>
      <c r="F162" s="84"/>
      <c r="G162" s="85"/>
      <c r="H162" s="85"/>
      <c r="I162" s="86"/>
      <c r="J162" s="73" t="str">
        <f aca="false">IF($I162="","",IFERROR($I162*INDEX(TAXAS,MATCH($H162,MOEDAS,0)),""))</f>
        <v/>
      </c>
      <c r="K162" s="84"/>
    </row>
    <row r="163" customFormat="false" ht="18" hidden="false" customHeight="true" outlineLevel="0" collapsed="false">
      <c r="A163" s="82"/>
      <c r="B163" s="69"/>
      <c r="C163" s="69"/>
      <c r="D163" s="69"/>
      <c r="E163" s="69"/>
      <c r="F163" s="69"/>
      <c r="G163" s="71"/>
      <c r="H163" s="71"/>
      <c r="I163" s="72"/>
      <c r="J163" s="73" t="str">
        <f aca="false">IF($I163="","",IFERROR($I163*INDEX(TAXAS,MATCH($H163,MOEDAS,0)),""))</f>
        <v/>
      </c>
      <c r="K163" s="69"/>
    </row>
    <row r="164" customFormat="false" ht="18" hidden="false" customHeight="true" outlineLevel="0" collapsed="false">
      <c r="A164" s="83"/>
      <c r="B164" s="84"/>
      <c r="C164" s="84"/>
      <c r="D164" s="84"/>
      <c r="E164" s="84"/>
      <c r="F164" s="84"/>
      <c r="G164" s="85"/>
      <c r="H164" s="85"/>
      <c r="I164" s="86"/>
      <c r="J164" s="73" t="str">
        <f aca="false">IF($I164="","",IFERROR($I164*INDEX(TAXAS,MATCH($H164,MOEDAS,0)),""))</f>
        <v/>
      </c>
      <c r="K164" s="84"/>
    </row>
    <row r="165" customFormat="false" ht="18" hidden="false" customHeight="true" outlineLevel="0" collapsed="false">
      <c r="A165" s="82"/>
      <c r="B165" s="69"/>
      <c r="C165" s="69"/>
      <c r="D165" s="69"/>
      <c r="E165" s="69"/>
      <c r="F165" s="69"/>
      <c r="G165" s="71"/>
      <c r="H165" s="71"/>
      <c r="I165" s="72"/>
      <c r="J165" s="73" t="str">
        <f aca="false">IF($I165="","",IFERROR($I165*INDEX(TAXAS,MATCH($H165,MOEDAS,0)),""))</f>
        <v/>
      </c>
      <c r="K165" s="69"/>
    </row>
    <row r="166" customFormat="false" ht="18" hidden="false" customHeight="true" outlineLevel="0" collapsed="false">
      <c r="A166" s="83"/>
      <c r="B166" s="84"/>
      <c r="C166" s="84"/>
      <c r="D166" s="84"/>
      <c r="E166" s="84"/>
      <c r="F166" s="84"/>
      <c r="G166" s="85"/>
      <c r="H166" s="85"/>
      <c r="I166" s="86"/>
      <c r="J166" s="73" t="str">
        <f aca="false">IF($I166="","",IFERROR($I166*INDEX(TAXAS,MATCH($H166,MOEDAS,0)),""))</f>
        <v/>
      </c>
      <c r="K166" s="84"/>
    </row>
    <row r="167" customFormat="false" ht="18" hidden="false" customHeight="true" outlineLevel="0" collapsed="false">
      <c r="A167" s="82"/>
      <c r="B167" s="69"/>
      <c r="C167" s="69"/>
      <c r="D167" s="69"/>
      <c r="E167" s="69"/>
      <c r="F167" s="69"/>
      <c r="G167" s="71"/>
      <c r="H167" s="71"/>
      <c r="I167" s="72"/>
      <c r="J167" s="73" t="str">
        <f aca="false">IF($I167="","",IFERROR($I167*INDEX(TAXAS,MATCH($H167,MOEDAS,0)),""))</f>
        <v/>
      </c>
      <c r="K167" s="69"/>
    </row>
    <row r="168" customFormat="false" ht="18" hidden="false" customHeight="true" outlineLevel="0" collapsed="false">
      <c r="A168" s="83"/>
      <c r="B168" s="84"/>
      <c r="C168" s="84"/>
      <c r="D168" s="84"/>
      <c r="E168" s="84"/>
      <c r="F168" s="84"/>
      <c r="G168" s="85"/>
      <c r="H168" s="85"/>
      <c r="I168" s="86"/>
      <c r="J168" s="73" t="str">
        <f aca="false">IF($I168="","",IFERROR($I168*INDEX(TAXAS,MATCH($H168,MOEDAS,0)),""))</f>
        <v/>
      </c>
      <c r="K168" s="84"/>
    </row>
    <row r="169" customFormat="false" ht="18" hidden="false" customHeight="true" outlineLevel="0" collapsed="false">
      <c r="A169" s="82"/>
      <c r="B169" s="69"/>
      <c r="C169" s="69"/>
      <c r="D169" s="69"/>
      <c r="E169" s="69"/>
      <c r="F169" s="69"/>
      <c r="G169" s="71"/>
      <c r="H169" s="71"/>
      <c r="I169" s="72"/>
      <c r="J169" s="73" t="str">
        <f aca="false">IF($I169="","",IFERROR($I169*INDEX(TAXAS,MATCH($H169,MOEDAS,0)),""))</f>
        <v/>
      </c>
      <c r="K169" s="69"/>
    </row>
    <row r="170" customFormat="false" ht="18" hidden="false" customHeight="true" outlineLevel="0" collapsed="false">
      <c r="A170" s="83"/>
      <c r="B170" s="84"/>
      <c r="C170" s="84"/>
      <c r="D170" s="84"/>
      <c r="E170" s="84"/>
      <c r="F170" s="84"/>
      <c r="G170" s="85"/>
      <c r="H170" s="85"/>
      <c r="I170" s="86"/>
      <c r="J170" s="73" t="str">
        <f aca="false">IF($I170="","",IFERROR($I170*INDEX(TAXAS,MATCH($H170,MOEDAS,0)),""))</f>
        <v/>
      </c>
      <c r="K170" s="84"/>
    </row>
    <row r="171" customFormat="false" ht="18" hidden="false" customHeight="true" outlineLevel="0" collapsed="false">
      <c r="A171" s="82"/>
      <c r="B171" s="69"/>
      <c r="C171" s="69"/>
      <c r="D171" s="69"/>
      <c r="E171" s="69"/>
      <c r="F171" s="69"/>
      <c r="G171" s="71"/>
      <c r="H171" s="71"/>
      <c r="I171" s="72"/>
      <c r="J171" s="73" t="str">
        <f aca="false">IF($I171="","",IFERROR($I171*INDEX(TAXAS,MATCH($H171,MOEDAS,0)),""))</f>
        <v/>
      </c>
      <c r="K171" s="69"/>
    </row>
    <row r="172" customFormat="false" ht="18" hidden="false" customHeight="true" outlineLevel="0" collapsed="false">
      <c r="A172" s="83"/>
      <c r="B172" s="84"/>
      <c r="C172" s="84"/>
      <c r="D172" s="84"/>
      <c r="E172" s="84"/>
      <c r="F172" s="84"/>
      <c r="G172" s="85"/>
      <c r="H172" s="85"/>
      <c r="I172" s="86"/>
      <c r="J172" s="73" t="str">
        <f aca="false">IF($I172="","",IFERROR($I172*INDEX(TAXAS,MATCH($H172,MOEDAS,0)),""))</f>
        <v/>
      </c>
      <c r="K172" s="84"/>
    </row>
    <row r="173" customFormat="false" ht="18" hidden="false" customHeight="true" outlineLevel="0" collapsed="false">
      <c r="A173" s="82"/>
      <c r="B173" s="69"/>
      <c r="C173" s="69"/>
      <c r="D173" s="69"/>
      <c r="E173" s="69"/>
      <c r="F173" s="69"/>
      <c r="G173" s="71"/>
      <c r="H173" s="71"/>
      <c r="I173" s="72"/>
      <c r="J173" s="73" t="str">
        <f aca="false">IF($I173="","",IFERROR($I173*INDEX(TAXAS,MATCH($H173,MOEDAS,0)),""))</f>
        <v/>
      </c>
      <c r="K173" s="69"/>
    </row>
    <row r="174" customFormat="false" ht="18" hidden="false" customHeight="true" outlineLevel="0" collapsed="false">
      <c r="A174" s="83"/>
      <c r="B174" s="84"/>
      <c r="C174" s="84"/>
      <c r="D174" s="84"/>
      <c r="E174" s="84"/>
      <c r="F174" s="84"/>
      <c r="G174" s="85"/>
      <c r="H174" s="85"/>
      <c r="I174" s="86"/>
      <c r="J174" s="73" t="str">
        <f aca="false">IF($I174="","",IFERROR($I174*INDEX(TAXAS,MATCH($H174,MOEDAS,0)),""))</f>
        <v/>
      </c>
      <c r="K174" s="84"/>
    </row>
    <row r="175" customFormat="false" ht="18" hidden="false" customHeight="true" outlineLevel="0" collapsed="false">
      <c r="A175" s="82"/>
      <c r="B175" s="69"/>
      <c r="C175" s="69"/>
      <c r="D175" s="69"/>
      <c r="E175" s="69"/>
      <c r="F175" s="69"/>
      <c r="G175" s="71"/>
      <c r="H175" s="71"/>
      <c r="I175" s="72"/>
      <c r="J175" s="73" t="str">
        <f aca="false">IF($I175="","",IFERROR($I175*INDEX(TAXAS,MATCH($H175,MOEDAS,0)),""))</f>
        <v/>
      </c>
      <c r="K175" s="69"/>
    </row>
    <row r="176" customFormat="false" ht="18" hidden="false" customHeight="true" outlineLevel="0" collapsed="false">
      <c r="A176" s="83"/>
      <c r="B176" s="84"/>
      <c r="C176" s="84"/>
      <c r="D176" s="84"/>
      <c r="E176" s="84"/>
      <c r="F176" s="84"/>
      <c r="G176" s="85"/>
      <c r="H176" s="85"/>
      <c r="I176" s="86"/>
      <c r="J176" s="73" t="str">
        <f aca="false">IF($I176="","",IFERROR($I176*INDEX(TAXAS,MATCH($H176,MOEDAS,0)),""))</f>
        <v/>
      </c>
      <c r="K176" s="84"/>
    </row>
    <row r="177" customFormat="false" ht="18" hidden="false" customHeight="true" outlineLevel="0" collapsed="false">
      <c r="A177" s="82"/>
      <c r="B177" s="69"/>
      <c r="C177" s="69"/>
      <c r="D177" s="69"/>
      <c r="E177" s="69"/>
      <c r="F177" s="69"/>
      <c r="G177" s="71"/>
      <c r="H177" s="71"/>
      <c r="I177" s="72"/>
      <c r="J177" s="73" t="str">
        <f aca="false">IF($I177="","",IFERROR($I177*INDEX(TAXAS,MATCH($H177,MOEDAS,0)),""))</f>
        <v/>
      </c>
      <c r="K177" s="69"/>
    </row>
    <row r="178" customFormat="false" ht="18" hidden="false" customHeight="true" outlineLevel="0" collapsed="false">
      <c r="A178" s="83"/>
      <c r="B178" s="84"/>
      <c r="C178" s="84"/>
      <c r="D178" s="84"/>
      <c r="E178" s="84"/>
      <c r="F178" s="84"/>
      <c r="G178" s="85"/>
      <c r="H178" s="85"/>
      <c r="I178" s="86"/>
      <c r="J178" s="73" t="str">
        <f aca="false">IF($I178="","",IFERROR($I178*INDEX(TAXAS,MATCH($H178,MOEDAS,0)),""))</f>
        <v/>
      </c>
      <c r="K178" s="84"/>
    </row>
    <row r="179" customFormat="false" ht="18" hidden="false" customHeight="true" outlineLevel="0" collapsed="false">
      <c r="A179" s="82"/>
      <c r="B179" s="69"/>
      <c r="C179" s="69"/>
      <c r="D179" s="69"/>
      <c r="E179" s="69"/>
      <c r="F179" s="69"/>
      <c r="G179" s="71"/>
      <c r="H179" s="71"/>
      <c r="I179" s="72"/>
      <c r="J179" s="73" t="str">
        <f aca="false">IF($I179="","",IFERROR($I179*INDEX(TAXAS,MATCH($H179,MOEDAS,0)),""))</f>
        <v/>
      </c>
      <c r="K179" s="69"/>
    </row>
    <row r="180" customFormat="false" ht="18" hidden="false" customHeight="true" outlineLevel="0" collapsed="false">
      <c r="A180" s="83"/>
      <c r="B180" s="84"/>
      <c r="C180" s="84"/>
      <c r="D180" s="84"/>
      <c r="E180" s="84"/>
      <c r="F180" s="84"/>
      <c r="G180" s="85"/>
      <c r="H180" s="85"/>
      <c r="I180" s="86"/>
      <c r="J180" s="73" t="str">
        <f aca="false">IF($I180="","",IFERROR($I180*INDEX(TAXAS,MATCH($H180,MOEDAS,0)),""))</f>
        <v/>
      </c>
      <c r="K180" s="84"/>
    </row>
    <row r="181" customFormat="false" ht="18" hidden="false" customHeight="true" outlineLevel="0" collapsed="false">
      <c r="A181" s="82"/>
      <c r="B181" s="69"/>
      <c r="C181" s="69"/>
      <c r="D181" s="69"/>
      <c r="E181" s="69"/>
      <c r="F181" s="69"/>
      <c r="G181" s="71"/>
      <c r="H181" s="71"/>
      <c r="I181" s="72"/>
      <c r="J181" s="73" t="str">
        <f aca="false">IF($I181="","",IFERROR($I181*INDEX(TAXAS,MATCH($H181,MOEDAS,0)),""))</f>
        <v/>
      </c>
      <c r="K181" s="69"/>
    </row>
    <row r="182" customFormat="false" ht="18" hidden="false" customHeight="true" outlineLevel="0" collapsed="false">
      <c r="A182" s="83"/>
      <c r="B182" s="84"/>
      <c r="C182" s="84"/>
      <c r="D182" s="84"/>
      <c r="E182" s="84"/>
      <c r="F182" s="84"/>
      <c r="G182" s="85"/>
      <c r="H182" s="85"/>
      <c r="I182" s="86"/>
      <c r="J182" s="73" t="str">
        <f aca="false">IF($I182="","",IFERROR($I182*INDEX(TAXAS,MATCH($H182,MOEDAS,0)),""))</f>
        <v/>
      </c>
      <c r="K182" s="84"/>
    </row>
    <row r="183" customFormat="false" ht="18" hidden="false" customHeight="true" outlineLevel="0" collapsed="false">
      <c r="A183" s="82"/>
      <c r="B183" s="69"/>
      <c r="C183" s="69"/>
      <c r="D183" s="69"/>
      <c r="E183" s="69"/>
      <c r="F183" s="69"/>
      <c r="G183" s="71"/>
      <c r="H183" s="71"/>
      <c r="I183" s="72"/>
      <c r="J183" s="73" t="str">
        <f aca="false">IF($I183="","",IFERROR($I183*INDEX(TAXAS,MATCH($H183,MOEDAS,0)),""))</f>
        <v/>
      </c>
      <c r="K183" s="69"/>
    </row>
    <row r="184" customFormat="false" ht="18" hidden="false" customHeight="true" outlineLevel="0" collapsed="false">
      <c r="A184" s="83"/>
      <c r="B184" s="84"/>
      <c r="C184" s="84"/>
      <c r="D184" s="84"/>
      <c r="E184" s="84"/>
      <c r="F184" s="84"/>
      <c r="G184" s="85"/>
      <c r="H184" s="85"/>
      <c r="I184" s="86"/>
      <c r="J184" s="73" t="str">
        <f aca="false">IF($I184="","",IFERROR($I184*INDEX(TAXAS,MATCH($H184,MOEDAS,0)),""))</f>
        <v/>
      </c>
      <c r="K184" s="84"/>
    </row>
    <row r="185" customFormat="false" ht="18" hidden="false" customHeight="true" outlineLevel="0" collapsed="false">
      <c r="A185" s="82"/>
      <c r="B185" s="69"/>
      <c r="C185" s="69"/>
      <c r="D185" s="69"/>
      <c r="E185" s="69"/>
      <c r="F185" s="69"/>
      <c r="G185" s="71"/>
      <c r="H185" s="71"/>
      <c r="I185" s="72"/>
      <c r="J185" s="73" t="str">
        <f aca="false">IF($I185="","",IFERROR($I185*INDEX(TAXAS,MATCH($H185,MOEDAS,0)),""))</f>
        <v/>
      </c>
      <c r="K185" s="69"/>
    </row>
    <row r="186" customFormat="false" ht="18" hidden="false" customHeight="true" outlineLevel="0" collapsed="false">
      <c r="A186" s="83"/>
      <c r="B186" s="84"/>
      <c r="C186" s="84"/>
      <c r="D186" s="84"/>
      <c r="E186" s="84"/>
      <c r="F186" s="84"/>
      <c r="G186" s="85"/>
      <c r="H186" s="85"/>
      <c r="I186" s="86"/>
      <c r="J186" s="73" t="str">
        <f aca="false">IF($I186="","",IFERROR($I186*INDEX(TAXAS,MATCH($H186,MOEDAS,0)),""))</f>
        <v/>
      </c>
      <c r="K186" s="84"/>
    </row>
    <row r="187" customFormat="false" ht="18" hidden="false" customHeight="true" outlineLevel="0" collapsed="false">
      <c r="A187" s="82"/>
      <c r="B187" s="69"/>
      <c r="C187" s="69"/>
      <c r="D187" s="69"/>
      <c r="E187" s="69"/>
      <c r="F187" s="69"/>
      <c r="G187" s="71"/>
      <c r="H187" s="71"/>
      <c r="I187" s="72"/>
      <c r="J187" s="73" t="str">
        <f aca="false">IF($I187="","",IFERROR($I187*INDEX(TAXAS,MATCH($H187,MOEDAS,0)),""))</f>
        <v/>
      </c>
      <c r="K187" s="69"/>
    </row>
    <row r="188" customFormat="false" ht="18" hidden="false" customHeight="true" outlineLevel="0" collapsed="false">
      <c r="A188" s="83"/>
      <c r="B188" s="84"/>
      <c r="C188" s="84"/>
      <c r="D188" s="84"/>
      <c r="E188" s="84"/>
      <c r="F188" s="84"/>
      <c r="G188" s="85"/>
      <c r="H188" s="85"/>
      <c r="I188" s="86"/>
      <c r="J188" s="73" t="str">
        <f aca="false">IF($I188="","",IFERROR($I188*INDEX(TAXAS,MATCH($H188,MOEDAS,0)),""))</f>
        <v/>
      </c>
      <c r="K188" s="84"/>
    </row>
    <row r="189" customFormat="false" ht="18" hidden="false" customHeight="true" outlineLevel="0" collapsed="false">
      <c r="A189" s="82"/>
      <c r="B189" s="69"/>
      <c r="C189" s="69"/>
      <c r="D189" s="69"/>
      <c r="E189" s="69"/>
      <c r="F189" s="69"/>
      <c r="G189" s="71"/>
      <c r="H189" s="71"/>
      <c r="I189" s="72"/>
      <c r="J189" s="73" t="str">
        <f aca="false">IF($I189="","",IFERROR($I189*INDEX(TAXAS,MATCH($H189,MOEDAS,0)),""))</f>
        <v/>
      </c>
      <c r="K189" s="69"/>
    </row>
    <row r="190" customFormat="false" ht="18" hidden="false" customHeight="true" outlineLevel="0" collapsed="false">
      <c r="A190" s="83"/>
      <c r="B190" s="84"/>
      <c r="C190" s="84"/>
      <c r="D190" s="84"/>
      <c r="E190" s="84"/>
      <c r="F190" s="84"/>
      <c r="G190" s="85"/>
      <c r="H190" s="85"/>
      <c r="I190" s="86"/>
      <c r="J190" s="73" t="str">
        <f aca="false">IF($I190="","",IFERROR($I190*INDEX(TAXAS,MATCH($H190,MOEDAS,0)),""))</f>
        <v/>
      </c>
      <c r="K190" s="84"/>
    </row>
    <row r="191" customFormat="false" ht="18" hidden="false" customHeight="true" outlineLevel="0" collapsed="false">
      <c r="A191" s="82"/>
      <c r="B191" s="69"/>
      <c r="C191" s="69"/>
      <c r="D191" s="69"/>
      <c r="E191" s="69"/>
      <c r="F191" s="69"/>
      <c r="G191" s="71"/>
      <c r="H191" s="71"/>
      <c r="I191" s="72"/>
      <c r="J191" s="73" t="str">
        <f aca="false">IF($I191="","",IFERROR($I191*INDEX(TAXAS,MATCH($H191,MOEDAS,0)),""))</f>
        <v/>
      </c>
      <c r="K191" s="69"/>
    </row>
    <row r="192" customFormat="false" ht="18" hidden="false" customHeight="true" outlineLevel="0" collapsed="false">
      <c r="A192" s="83"/>
      <c r="B192" s="84"/>
      <c r="C192" s="84"/>
      <c r="D192" s="84"/>
      <c r="E192" s="84"/>
      <c r="F192" s="84"/>
      <c r="G192" s="85"/>
      <c r="H192" s="85"/>
      <c r="I192" s="86"/>
      <c r="J192" s="73" t="str">
        <f aca="false">IF($I192="","",IFERROR($I192*INDEX(TAXAS,MATCH($H192,MOEDAS,0)),""))</f>
        <v/>
      </c>
      <c r="K192" s="84"/>
    </row>
    <row r="193" customFormat="false" ht="18" hidden="false" customHeight="true" outlineLevel="0" collapsed="false">
      <c r="A193" s="82"/>
      <c r="B193" s="69"/>
      <c r="C193" s="69"/>
      <c r="D193" s="69"/>
      <c r="E193" s="69"/>
      <c r="F193" s="69"/>
      <c r="G193" s="71"/>
      <c r="H193" s="71"/>
      <c r="I193" s="72"/>
      <c r="J193" s="73" t="str">
        <f aca="false">IF($I193="","",IFERROR($I193*INDEX(TAXAS,MATCH($H193,MOEDAS,0)),""))</f>
        <v/>
      </c>
      <c r="K193" s="69"/>
    </row>
    <row r="194" customFormat="false" ht="18" hidden="false" customHeight="true" outlineLevel="0" collapsed="false">
      <c r="A194" s="83"/>
      <c r="B194" s="84"/>
      <c r="C194" s="84"/>
      <c r="D194" s="84"/>
      <c r="E194" s="84"/>
      <c r="F194" s="84"/>
      <c r="G194" s="85"/>
      <c r="H194" s="85"/>
      <c r="I194" s="86"/>
      <c r="J194" s="73" t="str">
        <f aca="false">IF($I194="","",IFERROR($I194*INDEX(TAXAS,MATCH($H194,MOEDAS,0)),""))</f>
        <v/>
      </c>
      <c r="K194" s="84"/>
    </row>
    <row r="195" customFormat="false" ht="18" hidden="false" customHeight="true" outlineLevel="0" collapsed="false">
      <c r="A195" s="82"/>
      <c r="B195" s="69"/>
      <c r="C195" s="69"/>
      <c r="D195" s="69"/>
      <c r="E195" s="69"/>
      <c r="F195" s="69"/>
      <c r="G195" s="71"/>
      <c r="H195" s="71"/>
      <c r="I195" s="72"/>
      <c r="J195" s="73" t="str">
        <f aca="false">IF($I195="","",IFERROR($I195*INDEX(TAXAS,MATCH($H195,MOEDAS,0)),""))</f>
        <v/>
      </c>
      <c r="K195" s="69"/>
    </row>
    <row r="196" customFormat="false" ht="18" hidden="false" customHeight="true" outlineLevel="0" collapsed="false">
      <c r="A196" s="83"/>
      <c r="B196" s="84"/>
      <c r="C196" s="84"/>
      <c r="D196" s="84"/>
      <c r="E196" s="84"/>
      <c r="F196" s="84"/>
      <c r="G196" s="85"/>
      <c r="H196" s="85"/>
      <c r="I196" s="86"/>
      <c r="J196" s="73" t="str">
        <f aca="false">IF($I196="","",IFERROR($I196*INDEX(TAXAS,MATCH($H196,MOEDAS,0)),""))</f>
        <v/>
      </c>
      <c r="K196" s="84"/>
    </row>
    <row r="197" customFormat="false" ht="18" hidden="false" customHeight="true" outlineLevel="0" collapsed="false">
      <c r="A197" s="82"/>
      <c r="B197" s="69"/>
      <c r="C197" s="69"/>
      <c r="D197" s="69"/>
      <c r="E197" s="69"/>
      <c r="F197" s="69"/>
      <c r="G197" s="71"/>
      <c r="H197" s="71"/>
      <c r="I197" s="72"/>
      <c r="J197" s="73" t="str">
        <f aca="false">IF($I197="","",IFERROR($I197*INDEX(TAXAS,MATCH($H197,MOEDAS,0)),""))</f>
        <v/>
      </c>
      <c r="K197" s="69"/>
    </row>
    <row r="198" customFormat="false" ht="18" hidden="false" customHeight="true" outlineLevel="0" collapsed="false">
      <c r="A198" s="83"/>
      <c r="B198" s="84"/>
      <c r="C198" s="84"/>
      <c r="D198" s="84"/>
      <c r="E198" s="84"/>
      <c r="F198" s="84"/>
      <c r="G198" s="85"/>
      <c r="H198" s="85"/>
      <c r="I198" s="86"/>
      <c r="J198" s="73" t="str">
        <f aca="false">IF($I198="","",IFERROR($I198*INDEX(TAXAS,MATCH($H198,MOEDAS,0)),""))</f>
        <v/>
      </c>
      <c r="K198" s="84"/>
    </row>
    <row r="199" customFormat="false" ht="18" hidden="false" customHeight="true" outlineLevel="0" collapsed="false">
      <c r="A199" s="82"/>
      <c r="B199" s="69"/>
      <c r="C199" s="69"/>
      <c r="D199" s="69"/>
      <c r="E199" s="69"/>
      <c r="F199" s="69"/>
      <c r="G199" s="71"/>
      <c r="H199" s="71"/>
      <c r="I199" s="72"/>
      <c r="J199" s="73" t="str">
        <f aca="false">IF($I199="","",IFERROR($I199*INDEX(TAXAS,MATCH($H199,MOEDAS,0)),""))</f>
        <v/>
      </c>
      <c r="K199" s="69"/>
    </row>
    <row r="200" customFormat="false" ht="18" hidden="false" customHeight="true" outlineLevel="0" collapsed="false">
      <c r="A200" s="83"/>
      <c r="B200" s="84"/>
      <c r="C200" s="84"/>
      <c r="D200" s="84"/>
      <c r="E200" s="84"/>
      <c r="F200" s="84"/>
      <c r="G200" s="85"/>
      <c r="H200" s="85"/>
      <c r="I200" s="86"/>
      <c r="J200" s="73" t="str">
        <f aca="false">IF($I200="","",IFERROR($I200*INDEX(TAXAS,MATCH($H200,MOEDAS,0)),""))</f>
        <v/>
      </c>
      <c r="K200" s="84"/>
    </row>
    <row r="201" customFormat="false" ht="18" hidden="false" customHeight="true" outlineLevel="0" collapsed="false">
      <c r="A201" s="82"/>
      <c r="B201" s="69"/>
      <c r="C201" s="69"/>
      <c r="D201" s="69"/>
      <c r="E201" s="69"/>
      <c r="F201" s="69"/>
      <c r="G201" s="71"/>
      <c r="H201" s="71"/>
      <c r="I201" s="72"/>
      <c r="J201" s="73" t="str">
        <f aca="false">IF($I201="","",IFERROR($I201*INDEX(TAXAS,MATCH($H201,MOEDAS,0)),""))</f>
        <v/>
      </c>
      <c r="K201" s="69"/>
    </row>
    <row r="202" customFormat="false" ht="18" hidden="false" customHeight="true" outlineLevel="0" collapsed="false">
      <c r="A202" s="83"/>
      <c r="B202" s="84"/>
      <c r="C202" s="84"/>
      <c r="D202" s="84"/>
      <c r="E202" s="84"/>
      <c r="F202" s="84"/>
      <c r="G202" s="85"/>
      <c r="H202" s="85"/>
      <c r="I202" s="86"/>
      <c r="J202" s="73" t="str">
        <f aca="false">IF($I202="","",IFERROR($I202*INDEX(TAXAS,MATCH($H202,MOEDAS,0)),""))</f>
        <v/>
      </c>
      <c r="K202" s="84"/>
    </row>
    <row r="203" customFormat="false" ht="18" hidden="false" customHeight="true" outlineLevel="0" collapsed="false">
      <c r="A203" s="82"/>
      <c r="B203" s="69"/>
      <c r="C203" s="69"/>
      <c r="D203" s="69"/>
      <c r="E203" s="69"/>
      <c r="F203" s="69"/>
      <c r="G203" s="71"/>
      <c r="H203" s="71"/>
      <c r="I203" s="72"/>
      <c r="J203" s="73" t="str">
        <f aca="false">IF($I203="","",IFERROR($I203*INDEX(TAXAS,MATCH($H203,MOEDAS,0)),""))</f>
        <v/>
      </c>
      <c r="K203" s="69"/>
    </row>
    <row r="204" customFormat="false" ht="18" hidden="false" customHeight="true" outlineLevel="0" collapsed="false">
      <c r="A204" s="83"/>
      <c r="B204" s="84"/>
      <c r="C204" s="84"/>
      <c r="D204" s="84"/>
      <c r="E204" s="84"/>
      <c r="F204" s="84"/>
      <c r="G204" s="85"/>
      <c r="H204" s="85"/>
      <c r="I204" s="86"/>
      <c r="J204" s="73" t="str">
        <f aca="false">IF($I204="","",IFERROR($I204*INDEX(TAXAS,MATCH($H204,MOEDAS,0)),""))</f>
        <v/>
      </c>
      <c r="K204" s="84"/>
    </row>
    <row r="205" customFormat="false" ht="18" hidden="false" customHeight="true" outlineLevel="0" collapsed="false">
      <c r="A205" s="82"/>
      <c r="B205" s="69"/>
      <c r="C205" s="69"/>
      <c r="D205" s="69"/>
      <c r="E205" s="69"/>
      <c r="F205" s="69"/>
      <c r="G205" s="71"/>
      <c r="H205" s="71"/>
      <c r="I205" s="72"/>
      <c r="J205" s="73" t="str">
        <f aca="false">IF($I205="","",IFERROR($I205*INDEX(TAXAS,MATCH($H205,MOEDAS,0)),""))</f>
        <v/>
      </c>
      <c r="K205" s="69"/>
    </row>
    <row r="206" customFormat="false" ht="18" hidden="false" customHeight="true" outlineLevel="0" collapsed="false">
      <c r="A206" s="83"/>
      <c r="B206" s="84"/>
      <c r="C206" s="84"/>
      <c r="D206" s="84"/>
      <c r="E206" s="84"/>
      <c r="F206" s="84"/>
      <c r="G206" s="85"/>
      <c r="H206" s="85"/>
      <c r="I206" s="86"/>
      <c r="J206" s="73" t="str">
        <f aca="false">IF($I206="","",IFERROR($I206*INDEX(TAXAS,MATCH($H206,MOEDAS,0)),""))</f>
        <v/>
      </c>
      <c r="K206" s="84"/>
    </row>
    <row r="207" customFormat="false" ht="18" hidden="false" customHeight="true" outlineLevel="0" collapsed="false">
      <c r="A207" s="82"/>
      <c r="B207" s="69"/>
      <c r="C207" s="69"/>
      <c r="D207" s="69"/>
      <c r="E207" s="69"/>
      <c r="F207" s="69"/>
      <c r="G207" s="71"/>
      <c r="H207" s="71"/>
      <c r="I207" s="72"/>
      <c r="J207" s="73" t="str">
        <f aca="false">IF($I207="","",IFERROR($I207*INDEX(TAXAS,MATCH($H207,MOEDAS,0)),""))</f>
        <v/>
      </c>
      <c r="K207" s="69"/>
    </row>
    <row r="208" customFormat="false" ht="18" hidden="false" customHeight="true" outlineLevel="0" collapsed="false">
      <c r="A208" s="83"/>
      <c r="B208" s="84"/>
      <c r="C208" s="84"/>
      <c r="D208" s="84"/>
      <c r="E208" s="84"/>
      <c r="F208" s="84"/>
      <c r="G208" s="85"/>
      <c r="H208" s="85"/>
      <c r="I208" s="86"/>
      <c r="J208" s="73" t="str">
        <f aca="false">IF($I208="","",IFERROR($I208*INDEX(TAXAS,MATCH($H208,MOEDAS,0)),""))</f>
        <v/>
      </c>
      <c r="K208" s="84"/>
    </row>
    <row r="209" customFormat="false" ht="18" hidden="false" customHeight="true" outlineLevel="0" collapsed="false">
      <c r="A209" s="82"/>
      <c r="B209" s="69"/>
      <c r="C209" s="69"/>
      <c r="D209" s="69"/>
      <c r="E209" s="69"/>
      <c r="F209" s="69"/>
      <c r="G209" s="71"/>
      <c r="H209" s="71"/>
      <c r="I209" s="72"/>
      <c r="J209" s="73" t="str">
        <f aca="false">IF($I209="","",IFERROR($I209*INDEX(TAXAS,MATCH($H209,MOEDAS,0)),""))</f>
        <v/>
      </c>
      <c r="K209" s="69"/>
    </row>
    <row r="210" customFormat="false" ht="18" hidden="false" customHeight="true" outlineLevel="0" collapsed="false">
      <c r="A210" s="83"/>
      <c r="B210" s="84"/>
      <c r="C210" s="84"/>
      <c r="D210" s="84"/>
      <c r="E210" s="84"/>
      <c r="F210" s="84"/>
      <c r="G210" s="85"/>
      <c r="H210" s="85"/>
      <c r="I210" s="86"/>
      <c r="J210" s="73" t="str">
        <f aca="false">IF($I210="","",IFERROR($I210*INDEX(TAXAS,MATCH($H210,MOEDAS,0)),""))</f>
        <v/>
      </c>
      <c r="K210" s="84"/>
    </row>
    <row r="211" customFormat="false" ht="18" hidden="false" customHeight="true" outlineLevel="0" collapsed="false">
      <c r="A211" s="82"/>
      <c r="B211" s="69"/>
      <c r="C211" s="69"/>
      <c r="D211" s="69"/>
      <c r="E211" s="69"/>
      <c r="F211" s="69"/>
      <c r="G211" s="71"/>
      <c r="H211" s="71"/>
      <c r="I211" s="72"/>
      <c r="J211" s="73" t="str">
        <f aca="false">IF($I211="","",IFERROR($I211*INDEX(TAXAS,MATCH($H211,MOEDAS,0)),""))</f>
        <v/>
      </c>
      <c r="K211" s="69"/>
    </row>
    <row r="212" customFormat="false" ht="18" hidden="false" customHeight="true" outlineLevel="0" collapsed="false">
      <c r="A212" s="83"/>
      <c r="B212" s="84"/>
      <c r="C212" s="84"/>
      <c r="D212" s="84"/>
      <c r="E212" s="84"/>
      <c r="F212" s="84"/>
      <c r="G212" s="85"/>
      <c r="H212" s="85"/>
      <c r="I212" s="86"/>
      <c r="J212" s="73" t="str">
        <f aca="false">IF($I212="","",IFERROR($I212*INDEX(TAXAS,MATCH($H212,MOEDAS,0)),""))</f>
        <v/>
      </c>
      <c r="K212" s="84"/>
    </row>
    <row r="213" customFormat="false" ht="18" hidden="false" customHeight="true" outlineLevel="0" collapsed="false">
      <c r="A213" s="82"/>
      <c r="B213" s="69"/>
      <c r="C213" s="69"/>
      <c r="D213" s="69"/>
      <c r="E213" s="69"/>
      <c r="F213" s="69"/>
      <c r="G213" s="71"/>
      <c r="H213" s="71"/>
      <c r="I213" s="72"/>
      <c r="J213" s="73" t="str">
        <f aca="false">IF($I213="","",IFERROR($I213*INDEX(TAXAS,MATCH($H213,MOEDAS,0)),""))</f>
        <v/>
      </c>
      <c r="K213" s="69"/>
    </row>
    <row r="214" customFormat="false" ht="18" hidden="false" customHeight="true" outlineLevel="0" collapsed="false">
      <c r="A214" s="83"/>
      <c r="B214" s="84"/>
      <c r="C214" s="84"/>
      <c r="D214" s="84"/>
      <c r="E214" s="84"/>
      <c r="F214" s="84"/>
      <c r="G214" s="85"/>
      <c r="H214" s="85"/>
      <c r="I214" s="86"/>
      <c r="J214" s="73" t="str">
        <f aca="false">IF($I214="","",IFERROR($I214*INDEX(TAXAS,MATCH($H214,MOEDAS,0)),""))</f>
        <v/>
      </c>
      <c r="K214" s="84"/>
    </row>
    <row r="215" customFormat="false" ht="18" hidden="false" customHeight="true" outlineLevel="0" collapsed="false">
      <c r="A215" s="82"/>
      <c r="B215" s="69"/>
      <c r="C215" s="69"/>
      <c r="D215" s="69"/>
      <c r="E215" s="69"/>
      <c r="F215" s="69"/>
      <c r="G215" s="71"/>
      <c r="H215" s="71"/>
      <c r="I215" s="72"/>
      <c r="J215" s="73" t="str">
        <f aca="false">IF($I215="","",IFERROR($I215*INDEX(TAXAS,MATCH($H215,MOEDAS,0)),""))</f>
        <v/>
      </c>
      <c r="K215" s="69"/>
    </row>
    <row r="216" customFormat="false" ht="18" hidden="false" customHeight="true" outlineLevel="0" collapsed="false">
      <c r="A216" s="83"/>
      <c r="B216" s="84"/>
      <c r="C216" s="84"/>
      <c r="D216" s="84"/>
      <c r="E216" s="84"/>
      <c r="F216" s="84"/>
      <c r="G216" s="85"/>
      <c r="H216" s="85"/>
      <c r="I216" s="86"/>
      <c r="J216" s="73" t="str">
        <f aca="false">IF($I216="","",IFERROR($I216*INDEX(TAXAS,MATCH($H216,MOEDAS,0)),""))</f>
        <v/>
      </c>
      <c r="K216" s="84"/>
    </row>
    <row r="217" customFormat="false" ht="18" hidden="false" customHeight="true" outlineLevel="0" collapsed="false">
      <c r="A217" s="82"/>
      <c r="B217" s="69"/>
      <c r="C217" s="69"/>
      <c r="D217" s="69"/>
      <c r="E217" s="69"/>
      <c r="F217" s="69"/>
      <c r="G217" s="71"/>
      <c r="H217" s="71"/>
      <c r="I217" s="72"/>
      <c r="J217" s="73" t="str">
        <f aca="false">IF($I217="","",IFERROR($I217*INDEX(TAXAS,MATCH($H217,MOEDAS,0)),""))</f>
        <v/>
      </c>
      <c r="K217" s="69"/>
    </row>
    <row r="218" customFormat="false" ht="18" hidden="false" customHeight="true" outlineLevel="0" collapsed="false">
      <c r="A218" s="83"/>
      <c r="B218" s="84"/>
      <c r="C218" s="84"/>
      <c r="D218" s="84"/>
      <c r="E218" s="84"/>
      <c r="F218" s="84"/>
      <c r="G218" s="85"/>
      <c r="H218" s="85"/>
      <c r="I218" s="86"/>
      <c r="J218" s="73" t="str">
        <f aca="false">IF($I218="","",IFERROR($I218*INDEX(TAXAS,MATCH($H218,MOEDAS,0)),""))</f>
        <v/>
      </c>
      <c r="K218" s="84"/>
    </row>
    <row r="219" customFormat="false" ht="18" hidden="false" customHeight="true" outlineLevel="0" collapsed="false">
      <c r="A219" s="82"/>
      <c r="B219" s="69"/>
      <c r="C219" s="69"/>
      <c r="D219" s="69"/>
      <c r="E219" s="69"/>
      <c r="F219" s="69"/>
      <c r="G219" s="71"/>
      <c r="H219" s="71"/>
      <c r="I219" s="72"/>
      <c r="J219" s="73" t="str">
        <f aca="false">IF($I219="","",IFERROR($I219*INDEX(TAXAS,MATCH($H219,MOEDAS,0)),""))</f>
        <v/>
      </c>
      <c r="K219" s="69"/>
    </row>
    <row r="220" customFormat="false" ht="18" hidden="false" customHeight="true" outlineLevel="0" collapsed="false">
      <c r="A220" s="83"/>
      <c r="B220" s="84"/>
      <c r="C220" s="84"/>
      <c r="D220" s="84"/>
      <c r="E220" s="84"/>
      <c r="F220" s="84"/>
      <c r="G220" s="85"/>
      <c r="H220" s="85"/>
      <c r="I220" s="86"/>
      <c r="J220" s="73" t="str">
        <f aca="false">IF($I220="","",IFERROR($I220*INDEX(TAXAS,MATCH($H220,MOEDAS,0)),""))</f>
        <v/>
      </c>
      <c r="K220" s="84"/>
    </row>
    <row r="221" customFormat="false" ht="18" hidden="false" customHeight="true" outlineLevel="0" collapsed="false">
      <c r="A221" s="82"/>
      <c r="B221" s="69"/>
      <c r="C221" s="69"/>
      <c r="D221" s="69"/>
      <c r="E221" s="69"/>
      <c r="F221" s="69"/>
      <c r="G221" s="71"/>
      <c r="H221" s="71"/>
      <c r="I221" s="72"/>
      <c r="J221" s="73" t="str">
        <f aca="false">IF($I221="","",IFERROR($I221*INDEX(TAXAS,MATCH($H221,MOEDAS,0)),""))</f>
        <v/>
      </c>
      <c r="K221" s="69"/>
    </row>
    <row r="222" customFormat="false" ht="18" hidden="false" customHeight="true" outlineLevel="0" collapsed="false">
      <c r="A222" s="83"/>
      <c r="B222" s="84"/>
      <c r="C222" s="84"/>
      <c r="D222" s="84"/>
      <c r="E222" s="84"/>
      <c r="F222" s="84"/>
      <c r="G222" s="85"/>
      <c r="H222" s="85"/>
      <c r="I222" s="86"/>
      <c r="J222" s="73" t="str">
        <f aca="false">IF($I222="","",IFERROR($I222*INDEX(TAXAS,MATCH($H222,MOEDAS,0)),""))</f>
        <v/>
      </c>
      <c r="K222" s="84"/>
    </row>
    <row r="223" customFormat="false" ht="18" hidden="false" customHeight="true" outlineLevel="0" collapsed="false">
      <c r="A223" s="82"/>
      <c r="B223" s="69"/>
      <c r="C223" s="69"/>
      <c r="D223" s="69"/>
      <c r="E223" s="69"/>
      <c r="F223" s="69"/>
      <c r="G223" s="71"/>
      <c r="H223" s="71"/>
      <c r="I223" s="72"/>
      <c r="J223" s="73" t="str">
        <f aca="false">IF($I223="","",IFERROR($I223*INDEX(TAXAS,MATCH($H223,MOEDAS,0)),""))</f>
        <v/>
      </c>
      <c r="K223" s="69"/>
    </row>
    <row r="224" customFormat="false" ht="18" hidden="false" customHeight="true" outlineLevel="0" collapsed="false">
      <c r="A224" s="83"/>
      <c r="B224" s="84"/>
      <c r="C224" s="84"/>
      <c r="D224" s="84"/>
      <c r="E224" s="84"/>
      <c r="F224" s="84"/>
      <c r="G224" s="85"/>
      <c r="H224" s="85"/>
      <c r="I224" s="86"/>
      <c r="J224" s="73" t="str">
        <f aca="false">IF($I224="","",IFERROR($I224*INDEX(TAXAS,MATCH($H224,MOEDAS,0)),""))</f>
        <v/>
      </c>
      <c r="K224" s="84"/>
    </row>
    <row r="225" customFormat="false" ht="18" hidden="false" customHeight="true" outlineLevel="0" collapsed="false">
      <c r="A225" s="82"/>
      <c r="B225" s="69"/>
      <c r="C225" s="69"/>
      <c r="D225" s="69"/>
      <c r="E225" s="69"/>
      <c r="F225" s="69"/>
      <c r="G225" s="71"/>
      <c r="H225" s="71"/>
      <c r="I225" s="72"/>
      <c r="J225" s="73" t="str">
        <f aca="false">IF($I225="","",IFERROR($I225*INDEX(TAXAS,MATCH($H225,MOEDAS,0)),""))</f>
        <v/>
      </c>
      <c r="K225" s="69"/>
    </row>
    <row r="226" customFormat="false" ht="18" hidden="false" customHeight="true" outlineLevel="0" collapsed="false">
      <c r="A226" s="83"/>
      <c r="B226" s="84"/>
      <c r="C226" s="84"/>
      <c r="D226" s="84"/>
      <c r="E226" s="84"/>
      <c r="F226" s="84"/>
      <c r="G226" s="85"/>
      <c r="H226" s="85"/>
      <c r="I226" s="86"/>
      <c r="J226" s="73" t="str">
        <f aca="false">IF($I226="","",IFERROR($I226*INDEX(TAXAS,MATCH($H226,MOEDAS,0)),""))</f>
        <v/>
      </c>
      <c r="K226" s="84"/>
    </row>
    <row r="227" customFormat="false" ht="18" hidden="false" customHeight="true" outlineLevel="0" collapsed="false">
      <c r="A227" s="82"/>
      <c r="B227" s="69"/>
      <c r="C227" s="69"/>
      <c r="D227" s="69"/>
      <c r="E227" s="69"/>
      <c r="F227" s="69"/>
      <c r="G227" s="71"/>
      <c r="H227" s="71"/>
      <c r="I227" s="72"/>
      <c r="J227" s="73" t="str">
        <f aca="false">IF($I227="","",IFERROR($I227*INDEX(TAXAS,MATCH($H227,MOEDAS,0)),""))</f>
        <v/>
      </c>
      <c r="K227" s="69"/>
    </row>
    <row r="228" customFormat="false" ht="18" hidden="false" customHeight="true" outlineLevel="0" collapsed="false">
      <c r="A228" s="83"/>
      <c r="B228" s="84"/>
      <c r="C228" s="84"/>
      <c r="D228" s="84"/>
      <c r="E228" s="84"/>
      <c r="F228" s="84"/>
      <c r="G228" s="85"/>
      <c r="H228" s="85"/>
      <c r="I228" s="86"/>
      <c r="J228" s="73" t="str">
        <f aca="false">IF($I228="","",IFERROR($I228*INDEX(TAXAS,MATCH($H228,MOEDAS,0)),""))</f>
        <v/>
      </c>
      <c r="K228" s="84"/>
    </row>
    <row r="229" customFormat="false" ht="18" hidden="false" customHeight="true" outlineLevel="0" collapsed="false">
      <c r="A229" s="82"/>
      <c r="B229" s="69"/>
      <c r="C229" s="69"/>
      <c r="D229" s="69"/>
      <c r="E229" s="69"/>
      <c r="F229" s="69"/>
      <c r="G229" s="71"/>
      <c r="H229" s="71"/>
      <c r="I229" s="72"/>
      <c r="J229" s="73" t="str">
        <f aca="false">IF($I229="","",IFERROR($I229*INDEX(TAXAS,MATCH($H229,MOEDAS,0)),""))</f>
        <v/>
      </c>
      <c r="K229" s="69"/>
    </row>
    <row r="230" customFormat="false" ht="18" hidden="false" customHeight="true" outlineLevel="0" collapsed="false">
      <c r="A230" s="83"/>
      <c r="B230" s="84"/>
      <c r="C230" s="84"/>
      <c r="D230" s="84"/>
      <c r="E230" s="84"/>
      <c r="F230" s="84"/>
      <c r="G230" s="85"/>
      <c r="H230" s="85"/>
      <c r="I230" s="86"/>
      <c r="J230" s="73" t="str">
        <f aca="false">IF($I230="","",IFERROR($I230*INDEX(TAXAS,MATCH($H230,MOEDAS,0)),""))</f>
        <v/>
      </c>
      <c r="K230" s="84"/>
    </row>
    <row r="231" customFormat="false" ht="18" hidden="false" customHeight="true" outlineLevel="0" collapsed="false">
      <c r="A231" s="82"/>
      <c r="B231" s="69"/>
      <c r="C231" s="69"/>
      <c r="D231" s="69"/>
      <c r="E231" s="69"/>
      <c r="F231" s="69"/>
      <c r="G231" s="71"/>
      <c r="H231" s="71"/>
      <c r="I231" s="72"/>
      <c r="J231" s="73" t="str">
        <f aca="false">IF($I231="","",IFERROR($I231*INDEX(TAXAS,MATCH($H231,MOEDAS,0)),""))</f>
        <v/>
      </c>
      <c r="K231" s="69"/>
    </row>
    <row r="232" customFormat="false" ht="18" hidden="false" customHeight="true" outlineLevel="0" collapsed="false">
      <c r="A232" s="83"/>
      <c r="B232" s="84"/>
      <c r="C232" s="84"/>
      <c r="D232" s="84"/>
      <c r="E232" s="84"/>
      <c r="F232" s="84"/>
      <c r="G232" s="85"/>
      <c r="H232" s="85"/>
      <c r="I232" s="86"/>
      <c r="J232" s="73" t="str">
        <f aca="false">IF($I232="","",IFERROR($I232*INDEX(TAXAS,MATCH($H232,MOEDAS,0)),""))</f>
        <v/>
      </c>
      <c r="K232" s="84"/>
    </row>
    <row r="233" customFormat="false" ht="18" hidden="false" customHeight="true" outlineLevel="0" collapsed="false">
      <c r="A233" s="82"/>
      <c r="B233" s="69"/>
      <c r="C233" s="69"/>
      <c r="D233" s="69"/>
      <c r="E233" s="69"/>
      <c r="F233" s="69"/>
      <c r="G233" s="71"/>
      <c r="H233" s="71"/>
      <c r="I233" s="72"/>
      <c r="J233" s="73" t="str">
        <f aca="false">IF($I233="","",IFERROR($I233*INDEX(TAXAS,MATCH($H233,MOEDAS,0)),""))</f>
        <v/>
      </c>
      <c r="K233" s="69"/>
    </row>
    <row r="234" customFormat="false" ht="18" hidden="false" customHeight="true" outlineLevel="0" collapsed="false">
      <c r="A234" s="83"/>
      <c r="B234" s="84"/>
      <c r="C234" s="84"/>
      <c r="D234" s="84"/>
      <c r="E234" s="84"/>
      <c r="F234" s="84"/>
      <c r="G234" s="85"/>
      <c r="H234" s="85"/>
      <c r="I234" s="86"/>
      <c r="J234" s="73" t="str">
        <f aca="false">IF($I234="","",IFERROR($I234*INDEX(TAXAS,MATCH($H234,MOEDAS,0)),""))</f>
        <v/>
      </c>
      <c r="K234" s="84"/>
    </row>
    <row r="235" customFormat="false" ht="18" hidden="false" customHeight="true" outlineLevel="0" collapsed="false">
      <c r="A235" s="82"/>
      <c r="B235" s="69"/>
      <c r="C235" s="69"/>
      <c r="D235" s="69"/>
      <c r="E235" s="69"/>
      <c r="F235" s="69"/>
      <c r="G235" s="71"/>
      <c r="H235" s="71"/>
      <c r="I235" s="72"/>
      <c r="J235" s="73" t="str">
        <f aca="false">IF($I235="","",IFERROR($I235*INDEX(TAXAS,MATCH($H235,MOEDAS,0)),""))</f>
        <v/>
      </c>
      <c r="K235" s="69"/>
    </row>
    <row r="236" customFormat="false" ht="18" hidden="false" customHeight="true" outlineLevel="0" collapsed="false">
      <c r="A236" s="83"/>
      <c r="B236" s="84"/>
      <c r="C236" s="84"/>
      <c r="D236" s="84"/>
      <c r="E236" s="84"/>
      <c r="F236" s="84"/>
      <c r="G236" s="85"/>
      <c r="H236" s="85"/>
      <c r="I236" s="86"/>
      <c r="J236" s="73" t="str">
        <f aca="false">IF($I236="","",IFERROR($I236*INDEX(TAXAS,MATCH($H236,MOEDAS,0)),""))</f>
        <v/>
      </c>
      <c r="K236" s="84"/>
    </row>
    <row r="237" customFormat="false" ht="18" hidden="false" customHeight="true" outlineLevel="0" collapsed="false">
      <c r="A237" s="82"/>
      <c r="B237" s="69"/>
      <c r="C237" s="69"/>
      <c r="D237" s="69"/>
      <c r="E237" s="69"/>
      <c r="F237" s="69"/>
      <c r="G237" s="71"/>
      <c r="H237" s="71"/>
      <c r="I237" s="72"/>
      <c r="J237" s="73" t="str">
        <f aca="false">IF($I237="","",IFERROR($I237*INDEX(TAXAS,MATCH($H237,MOEDAS,0)),""))</f>
        <v/>
      </c>
      <c r="K237" s="69"/>
    </row>
    <row r="238" customFormat="false" ht="18" hidden="false" customHeight="true" outlineLevel="0" collapsed="false">
      <c r="A238" s="83"/>
      <c r="B238" s="84"/>
      <c r="C238" s="84"/>
      <c r="D238" s="84"/>
      <c r="E238" s="84"/>
      <c r="F238" s="84"/>
      <c r="G238" s="85"/>
      <c r="H238" s="85"/>
      <c r="I238" s="86"/>
      <c r="J238" s="73" t="str">
        <f aca="false">IF($I238="","",IFERROR($I238*INDEX(TAXAS,MATCH($H238,MOEDAS,0)),""))</f>
        <v/>
      </c>
      <c r="K238" s="84"/>
    </row>
    <row r="239" customFormat="false" ht="18" hidden="false" customHeight="true" outlineLevel="0" collapsed="false">
      <c r="A239" s="82"/>
      <c r="B239" s="69"/>
      <c r="C239" s="69"/>
      <c r="D239" s="69"/>
      <c r="E239" s="69"/>
      <c r="F239" s="69"/>
      <c r="G239" s="71"/>
      <c r="H239" s="71"/>
      <c r="I239" s="72"/>
      <c r="J239" s="73" t="str">
        <f aca="false">IF($I239="","",IFERROR($I239*INDEX(TAXAS,MATCH($H239,MOEDAS,0)),""))</f>
        <v/>
      </c>
      <c r="K239" s="69"/>
    </row>
    <row r="240" customFormat="false" ht="18" hidden="false" customHeight="true" outlineLevel="0" collapsed="false">
      <c r="A240" s="83"/>
      <c r="B240" s="84"/>
      <c r="C240" s="84"/>
      <c r="D240" s="84"/>
      <c r="E240" s="84"/>
      <c r="F240" s="84"/>
      <c r="G240" s="85"/>
      <c r="H240" s="85"/>
      <c r="I240" s="86"/>
      <c r="J240" s="73" t="str">
        <f aca="false">IF($I240="","",IFERROR($I240*INDEX(TAXAS,MATCH($H240,MOEDAS,0)),""))</f>
        <v/>
      </c>
      <c r="K240" s="84"/>
    </row>
    <row r="241" customFormat="false" ht="18" hidden="false" customHeight="true" outlineLevel="0" collapsed="false">
      <c r="A241" s="82"/>
      <c r="B241" s="69"/>
      <c r="C241" s="69"/>
      <c r="D241" s="69"/>
      <c r="E241" s="69"/>
      <c r="F241" s="69"/>
      <c r="G241" s="71"/>
      <c r="H241" s="71"/>
      <c r="I241" s="72"/>
      <c r="J241" s="73" t="str">
        <f aca="false">IF($I241="","",IFERROR($I241*INDEX(TAXAS,MATCH($H241,MOEDAS,0)),""))</f>
        <v/>
      </c>
      <c r="K241" s="69"/>
    </row>
    <row r="242" customFormat="false" ht="18" hidden="false" customHeight="true" outlineLevel="0" collapsed="false">
      <c r="A242" s="83"/>
      <c r="B242" s="84"/>
      <c r="C242" s="84"/>
      <c r="D242" s="84"/>
      <c r="E242" s="84"/>
      <c r="F242" s="84"/>
      <c r="G242" s="85"/>
      <c r="H242" s="85"/>
      <c r="I242" s="86"/>
      <c r="J242" s="73" t="str">
        <f aca="false">IF($I242="","",IFERROR($I242*INDEX(TAXAS,MATCH($H242,MOEDAS,0)),""))</f>
        <v/>
      </c>
      <c r="K242" s="84"/>
    </row>
    <row r="243" customFormat="false" ht="18" hidden="false" customHeight="true" outlineLevel="0" collapsed="false">
      <c r="A243" s="82"/>
      <c r="B243" s="69"/>
      <c r="C243" s="69"/>
      <c r="D243" s="69"/>
      <c r="E243" s="69"/>
      <c r="F243" s="69"/>
      <c r="G243" s="71"/>
      <c r="H243" s="71"/>
      <c r="I243" s="72"/>
      <c r="J243" s="73" t="str">
        <f aca="false">IF($I243="","",IFERROR($I243*INDEX(TAXAS,MATCH($H243,MOEDAS,0)),""))</f>
        <v/>
      </c>
      <c r="K243" s="69"/>
    </row>
    <row r="244" customFormat="false" ht="18" hidden="false" customHeight="true" outlineLevel="0" collapsed="false">
      <c r="A244" s="83"/>
      <c r="B244" s="84"/>
      <c r="C244" s="84"/>
      <c r="D244" s="84"/>
      <c r="E244" s="84"/>
      <c r="F244" s="84"/>
      <c r="G244" s="85"/>
      <c r="H244" s="85"/>
      <c r="I244" s="86"/>
      <c r="J244" s="73" t="str">
        <f aca="false">IF($I244="","",IFERROR($I244*INDEX(TAXAS,MATCH($H244,MOEDAS,0)),""))</f>
        <v/>
      </c>
      <c r="K244" s="84"/>
    </row>
    <row r="245" customFormat="false" ht="18" hidden="false" customHeight="true" outlineLevel="0" collapsed="false">
      <c r="A245" s="82"/>
      <c r="B245" s="69"/>
      <c r="C245" s="69"/>
      <c r="D245" s="69"/>
      <c r="E245" s="69"/>
      <c r="F245" s="69"/>
      <c r="G245" s="71"/>
      <c r="H245" s="71"/>
      <c r="I245" s="72"/>
      <c r="J245" s="73" t="str">
        <f aca="false">IF($I245="","",IFERROR($I245*INDEX(TAXAS,MATCH($H245,MOEDAS,0)),""))</f>
        <v/>
      </c>
      <c r="K245" s="69"/>
    </row>
    <row r="246" customFormat="false" ht="18" hidden="false" customHeight="true" outlineLevel="0" collapsed="false">
      <c r="A246" s="83"/>
      <c r="B246" s="84"/>
      <c r="C246" s="84"/>
      <c r="D246" s="84"/>
      <c r="E246" s="84"/>
      <c r="F246" s="84"/>
      <c r="G246" s="85"/>
      <c r="H246" s="85"/>
      <c r="I246" s="86"/>
      <c r="J246" s="73" t="str">
        <f aca="false">IF($I246="","",IFERROR($I246*INDEX(TAXAS,MATCH($H246,MOEDAS,0)),""))</f>
        <v/>
      </c>
      <c r="K246" s="84"/>
    </row>
    <row r="247" customFormat="false" ht="18" hidden="false" customHeight="true" outlineLevel="0" collapsed="false">
      <c r="A247" s="82"/>
      <c r="B247" s="69"/>
      <c r="C247" s="69"/>
      <c r="D247" s="69"/>
      <c r="E247" s="69"/>
      <c r="F247" s="69"/>
      <c r="G247" s="71"/>
      <c r="H247" s="71"/>
      <c r="I247" s="72"/>
      <c r="J247" s="73" t="str">
        <f aca="false">IF($I247="","",IFERROR($I247*INDEX(TAXAS,MATCH($H247,MOEDAS,0)),""))</f>
        <v/>
      </c>
      <c r="K247" s="69"/>
    </row>
    <row r="248" customFormat="false" ht="18" hidden="false" customHeight="true" outlineLevel="0" collapsed="false">
      <c r="A248" s="83"/>
      <c r="B248" s="84"/>
      <c r="C248" s="84"/>
      <c r="D248" s="84"/>
      <c r="E248" s="84"/>
      <c r="F248" s="84"/>
      <c r="G248" s="85"/>
      <c r="H248" s="85"/>
      <c r="I248" s="86"/>
      <c r="J248" s="73" t="str">
        <f aca="false">IF($I248="","",IFERROR($I248*INDEX(TAXAS,MATCH($H248,MOEDAS,0)),""))</f>
        <v/>
      </c>
      <c r="K248" s="84"/>
    </row>
    <row r="249" customFormat="false" ht="18" hidden="false" customHeight="true" outlineLevel="0" collapsed="false">
      <c r="A249" s="82"/>
      <c r="B249" s="69"/>
      <c r="C249" s="69"/>
      <c r="D249" s="69"/>
      <c r="E249" s="69"/>
      <c r="F249" s="69"/>
      <c r="G249" s="71"/>
      <c r="H249" s="71"/>
      <c r="I249" s="72"/>
      <c r="J249" s="73" t="str">
        <f aca="false">IF($I249="","",IFERROR($I249*INDEX(TAXAS,MATCH($H249,MOEDAS,0)),""))</f>
        <v/>
      </c>
      <c r="K249" s="69"/>
    </row>
    <row r="250" customFormat="false" ht="18" hidden="false" customHeight="true" outlineLevel="0" collapsed="false">
      <c r="A250" s="83"/>
      <c r="B250" s="84"/>
      <c r="C250" s="84"/>
      <c r="D250" s="84"/>
      <c r="E250" s="84"/>
      <c r="F250" s="84"/>
      <c r="G250" s="85"/>
      <c r="H250" s="85"/>
      <c r="I250" s="86"/>
      <c r="J250" s="73" t="str">
        <f aca="false">IF($I250="","",IFERROR($I250*INDEX(TAXAS,MATCH($H250,MOEDAS,0)),""))</f>
        <v/>
      </c>
      <c r="K250" s="84"/>
    </row>
    <row r="251" customFormat="false" ht="18" hidden="false" customHeight="true" outlineLevel="0" collapsed="false">
      <c r="A251" s="82"/>
      <c r="B251" s="69"/>
      <c r="C251" s="69"/>
      <c r="D251" s="69"/>
      <c r="E251" s="69"/>
      <c r="F251" s="69"/>
      <c r="G251" s="71"/>
      <c r="H251" s="71"/>
      <c r="I251" s="72"/>
      <c r="J251" s="73" t="str">
        <f aca="false">IF($I251="","",IFERROR($I251*INDEX(TAXAS,MATCH($H251,MOEDAS,0)),""))</f>
        <v/>
      </c>
      <c r="K251" s="69"/>
    </row>
    <row r="252" customFormat="false" ht="18" hidden="false" customHeight="true" outlineLevel="0" collapsed="false">
      <c r="A252" s="83"/>
      <c r="B252" s="84"/>
      <c r="C252" s="84"/>
      <c r="D252" s="84"/>
      <c r="E252" s="84"/>
      <c r="F252" s="84"/>
      <c r="G252" s="85"/>
      <c r="H252" s="85"/>
      <c r="I252" s="86"/>
      <c r="J252" s="73" t="str">
        <f aca="false">IF($I252="","",IFERROR($I252*INDEX(TAXAS,MATCH($H252,MOEDAS,0)),""))</f>
        <v/>
      </c>
      <c r="K252" s="84"/>
    </row>
    <row r="253" customFormat="false" ht="18" hidden="false" customHeight="true" outlineLevel="0" collapsed="false">
      <c r="A253" s="82"/>
      <c r="B253" s="69"/>
      <c r="C253" s="69"/>
      <c r="D253" s="69"/>
      <c r="E253" s="69"/>
      <c r="F253" s="69"/>
      <c r="G253" s="71"/>
      <c r="H253" s="71"/>
      <c r="I253" s="72"/>
      <c r="J253" s="73" t="str">
        <f aca="false">IF($I253="","",IFERROR($I253*INDEX(TAXAS,MATCH($H253,MOEDAS,0)),""))</f>
        <v/>
      </c>
      <c r="K253" s="69"/>
    </row>
    <row r="254" customFormat="false" ht="18" hidden="false" customHeight="true" outlineLevel="0" collapsed="false">
      <c r="A254" s="83"/>
      <c r="B254" s="84"/>
      <c r="C254" s="84"/>
      <c r="D254" s="84"/>
      <c r="E254" s="84"/>
      <c r="F254" s="84"/>
      <c r="G254" s="85"/>
      <c r="H254" s="85"/>
      <c r="I254" s="86"/>
      <c r="J254" s="73" t="str">
        <f aca="false">IF($I254="","",IFERROR($I254*INDEX(TAXAS,MATCH($H254,MOEDAS,0)),""))</f>
        <v/>
      </c>
      <c r="K254" s="84"/>
    </row>
    <row r="255" customFormat="false" ht="18" hidden="false" customHeight="true" outlineLevel="0" collapsed="false">
      <c r="A255" s="82"/>
      <c r="B255" s="69"/>
      <c r="C255" s="69"/>
      <c r="D255" s="69"/>
      <c r="E255" s="69"/>
      <c r="F255" s="69"/>
      <c r="G255" s="71"/>
      <c r="H255" s="71"/>
      <c r="I255" s="72"/>
      <c r="J255" s="73" t="str">
        <f aca="false">IF($I255="","",IFERROR($I255*INDEX(TAXAS,MATCH($H255,MOEDAS,0)),""))</f>
        <v/>
      </c>
      <c r="K255" s="69"/>
    </row>
    <row r="256" customFormat="false" ht="18" hidden="false" customHeight="true" outlineLevel="0" collapsed="false">
      <c r="A256" s="83"/>
      <c r="B256" s="84"/>
      <c r="C256" s="84"/>
      <c r="D256" s="84"/>
      <c r="E256" s="84"/>
      <c r="F256" s="84"/>
      <c r="G256" s="85"/>
      <c r="H256" s="85"/>
      <c r="I256" s="86"/>
      <c r="J256" s="73" t="str">
        <f aca="false">IF($I256="","",IFERROR($I256*INDEX(TAXAS,MATCH($H256,MOEDAS,0)),""))</f>
        <v/>
      </c>
      <c r="K256" s="84"/>
    </row>
    <row r="257" customFormat="false" ht="18" hidden="false" customHeight="true" outlineLevel="0" collapsed="false">
      <c r="A257" s="82"/>
      <c r="B257" s="69"/>
      <c r="C257" s="69"/>
      <c r="D257" s="69"/>
      <c r="E257" s="69"/>
      <c r="F257" s="69"/>
      <c r="G257" s="71"/>
      <c r="H257" s="71"/>
      <c r="I257" s="72"/>
      <c r="J257" s="73" t="str">
        <f aca="false">IF($I257="","",IFERROR($I257*INDEX(TAXAS,MATCH($H257,MOEDAS,0)),""))</f>
        <v/>
      </c>
      <c r="K257" s="69"/>
    </row>
    <row r="258" customFormat="false" ht="18" hidden="false" customHeight="true" outlineLevel="0" collapsed="false">
      <c r="A258" s="83"/>
      <c r="B258" s="84"/>
      <c r="C258" s="84"/>
      <c r="D258" s="84"/>
      <c r="E258" s="84"/>
      <c r="F258" s="84"/>
      <c r="G258" s="85"/>
      <c r="H258" s="85"/>
      <c r="I258" s="86"/>
      <c r="J258" s="73" t="str">
        <f aca="false">IF($I258="","",IFERROR($I258*INDEX(TAXAS,MATCH($H258,MOEDAS,0)),""))</f>
        <v/>
      </c>
      <c r="K258" s="84"/>
    </row>
    <row r="259" customFormat="false" ht="18" hidden="false" customHeight="true" outlineLevel="0" collapsed="false">
      <c r="A259" s="82"/>
      <c r="B259" s="69"/>
      <c r="C259" s="69"/>
      <c r="D259" s="69"/>
      <c r="E259" s="69"/>
      <c r="F259" s="69"/>
      <c r="G259" s="71"/>
      <c r="H259" s="71"/>
      <c r="I259" s="72"/>
      <c r="J259" s="73" t="str">
        <f aca="false">IF($I259="","",IFERROR($I259*INDEX(TAXAS,MATCH($H259,MOEDAS,0)),""))</f>
        <v/>
      </c>
      <c r="K259" s="69"/>
    </row>
    <row r="260" customFormat="false" ht="18" hidden="false" customHeight="true" outlineLevel="0" collapsed="false">
      <c r="A260" s="83"/>
      <c r="B260" s="84"/>
      <c r="C260" s="84"/>
      <c r="D260" s="84"/>
      <c r="E260" s="84"/>
      <c r="F260" s="84"/>
      <c r="G260" s="85"/>
      <c r="H260" s="85"/>
      <c r="I260" s="86"/>
      <c r="J260" s="73" t="str">
        <f aca="false">IF($I260="","",IFERROR($I260*INDEX(TAXAS,MATCH($H260,MOEDAS,0)),""))</f>
        <v/>
      </c>
      <c r="K260" s="84"/>
    </row>
    <row r="261" customFormat="false" ht="18" hidden="false" customHeight="true" outlineLevel="0" collapsed="false">
      <c r="A261" s="82"/>
      <c r="B261" s="69"/>
      <c r="C261" s="69"/>
      <c r="D261" s="69"/>
      <c r="E261" s="69"/>
      <c r="F261" s="69"/>
      <c r="G261" s="71"/>
      <c r="H261" s="71"/>
      <c r="I261" s="72"/>
      <c r="J261" s="73" t="str">
        <f aca="false">IF($I261="","",IFERROR($I261*INDEX(TAXAS,MATCH($H261,MOEDAS,0)),""))</f>
        <v/>
      </c>
      <c r="K261" s="69"/>
    </row>
    <row r="262" customFormat="false" ht="18" hidden="false" customHeight="true" outlineLevel="0" collapsed="false">
      <c r="A262" s="83"/>
      <c r="B262" s="84"/>
      <c r="C262" s="84"/>
      <c r="D262" s="84"/>
      <c r="E262" s="84"/>
      <c r="F262" s="84"/>
      <c r="G262" s="85"/>
      <c r="H262" s="85"/>
      <c r="I262" s="86"/>
      <c r="J262" s="73" t="str">
        <f aca="false">IF($I262="","",IFERROR($I262*INDEX(TAXAS,MATCH($H262,MOEDAS,0)),""))</f>
        <v/>
      </c>
      <c r="K262" s="84"/>
    </row>
    <row r="263" customFormat="false" ht="18" hidden="false" customHeight="true" outlineLevel="0" collapsed="false">
      <c r="A263" s="82"/>
      <c r="B263" s="69"/>
      <c r="C263" s="69"/>
      <c r="D263" s="69"/>
      <c r="E263" s="69"/>
      <c r="F263" s="69"/>
      <c r="G263" s="71"/>
      <c r="H263" s="71"/>
      <c r="I263" s="72"/>
      <c r="J263" s="73" t="str">
        <f aca="false">IF($I263="","",IFERROR($I263*INDEX(TAXAS,MATCH($H263,MOEDAS,0)),""))</f>
        <v/>
      </c>
      <c r="K263" s="69"/>
    </row>
    <row r="264" customFormat="false" ht="18" hidden="false" customHeight="true" outlineLevel="0" collapsed="false">
      <c r="A264" s="83"/>
      <c r="B264" s="84"/>
      <c r="C264" s="84"/>
      <c r="D264" s="84"/>
      <c r="E264" s="84"/>
      <c r="F264" s="84"/>
      <c r="G264" s="85"/>
      <c r="H264" s="85"/>
      <c r="I264" s="86"/>
      <c r="J264" s="73" t="str">
        <f aca="false">IF($I264="","",IFERROR($I264*INDEX(TAXAS,MATCH($H264,MOEDAS,0)),""))</f>
        <v/>
      </c>
      <c r="K264" s="84"/>
    </row>
    <row r="265" customFormat="false" ht="18" hidden="false" customHeight="true" outlineLevel="0" collapsed="false">
      <c r="A265" s="82"/>
      <c r="B265" s="69"/>
      <c r="C265" s="69"/>
      <c r="D265" s="69"/>
      <c r="E265" s="69"/>
      <c r="F265" s="69"/>
      <c r="G265" s="71"/>
      <c r="H265" s="71"/>
      <c r="I265" s="72"/>
      <c r="J265" s="73" t="str">
        <f aca="false">IF($I265="","",IFERROR($I265*INDEX(TAXAS,MATCH($H265,MOEDAS,0)),""))</f>
        <v/>
      </c>
      <c r="K265" s="69"/>
    </row>
    <row r="266" customFormat="false" ht="18" hidden="false" customHeight="true" outlineLevel="0" collapsed="false">
      <c r="A266" s="83"/>
      <c r="B266" s="84"/>
      <c r="C266" s="84"/>
      <c r="D266" s="84"/>
      <c r="E266" s="84"/>
      <c r="F266" s="84"/>
      <c r="G266" s="85"/>
      <c r="H266" s="85"/>
      <c r="I266" s="86"/>
      <c r="J266" s="73" t="str">
        <f aca="false">IF($I266="","",IFERROR($I266*INDEX(TAXAS,MATCH($H266,MOEDAS,0)),""))</f>
        <v/>
      </c>
      <c r="K266" s="84"/>
    </row>
    <row r="267" customFormat="false" ht="18" hidden="false" customHeight="true" outlineLevel="0" collapsed="false">
      <c r="A267" s="82"/>
      <c r="B267" s="69"/>
      <c r="C267" s="69"/>
      <c r="D267" s="69"/>
      <c r="E267" s="69"/>
      <c r="F267" s="69"/>
      <c r="G267" s="71"/>
      <c r="H267" s="71"/>
      <c r="I267" s="72"/>
      <c r="J267" s="73" t="str">
        <f aca="false">IF($I267="","",IFERROR($I267*INDEX(TAXAS,MATCH($H267,MOEDAS,0)),""))</f>
        <v/>
      </c>
      <c r="K267" s="69"/>
    </row>
    <row r="268" customFormat="false" ht="18" hidden="false" customHeight="true" outlineLevel="0" collapsed="false">
      <c r="A268" s="83"/>
      <c r="B268" s="84"/>
      <c r="C268" s="84"/>
      <c r="D268" s="84"/>
      <c r="E268" s="84"/>
      <c r="F268" s="84"/>
      <c r="G268" s="85"/>
      <c r="H268" s="85"/>
      <c r="I268" s="86"/>
      <c r="J268" s="73" t="str">
        <f aca="false">IF($I268="","",IFERROR($I268*INDEX(TAXAS,MATCH($H268,MOEDAS,0)),""))</f>
        <v/>
      </c>
      <c r="K268" s="84"/>
    </row>
    <row r="269" customFormat="false" ht="18" hidden="false" customHeight="true" outlineLevel="0" collapsed="false">
      <c r="A269" s="82"/>
      <c r="B269" s="69"/>
      <c r="C269" s="69"/>
      <c r="D269" s="69"/>
      <c r="E269" s="69"/>
      <c r="F269" s="69"/>
      <c r="G269" s="71"/>
      <c r="H269" s="71"/>
      <c r="I269" s="72"/>
      <c r="J269" s="73" t="str">
        <f aca="false">IF($I269="","",IFERROR($I269*INDEX(TAXAS,MATCH($H269,MOEDAS,0)),""))</f>
        <v/>
      </c>
      <c r="K269" s="69"/>
    </row>
    <row r="270" customFormat="false" ht="18" hidden="false" customHeight="true" outlineLevel="0" collapsed="false">
      <c r="A270" s="83"/>
      <c r="B270" s="84"/>
      <c r="C270" s="84"/>
      <c r="D270" s="84"/>
      <c r="E270" s="84"/>
      <c r="F270" s="84"/>
      <c r="G270" s="85"/>
      <c r="H270" s="85"/>
      <c r="I270" s="86"/>
      <c r="J270" s="73" t="str">
        <f aca="false">IF($I270="","",IFERROR($I270*INDEX(TAXAS,MATCH($H270,MOEDAS,0)),""))</f>
        <v/>
      </c>
      <c r="K270" s="84"/>
    </row>
    <row r="271" customFormat="false" ht="18" hidden="false" customHeight="true" outlineLevel="0" collapsed="false">
      <c r="A271" s="82"/>
      <c r="B271" s="69"/>
      <c r="C271" s="69"/>
      <c r="D271" s="69"/>
      <c r="E271" s="69"/>
      <c r="F271" s="69"/>
      <c r="G271" s="71"/>
      <c r="H271" s="71"/>
      <c r="I271" s="72"/>
      <c r="J271" s="73" t="str">
        <f aca="false">IF($I271="","",IFERROR($I271*INDEX(TAXAS,MATCH($H271,MOEDAS,0)),""))</f>
        <v/>
      </c>
      <c r="K271" s="69"/>
    </row>
    <row r="272" customFormat="false" ht="18" hidden="false" customHeight="true" outlineLevel="0" collapsed="false">
      <c r="A272" s="83"/>
      <c r="B272" s="84"/>
      <c r="C272" s="84"/>
      <c r="D272" s="84"/>
      <c r="E272" s="84"/>
      <c r="F272" s="84"/>
      <c r="G272" s="85"/>
      <c r="H272" s="85"/>
      <c r="I272" s="86"/>
      <c r="J272" s="73" t="str">
        <f aca="false">IF($I272="","",IFERROR($I272*INDEX(TAXAS,MATCH($H272,MOEDAS,0)),""))</f>
        <v/>
      </c>
      <c r="K272" s="84"/>
    </row>
    <row r="273" customFormat="false" ht="18" hidden="false" customHeight="true" outlineLevel="0" collapsed="false">
      <c r="A273" s="82"/>
      <c r="B273" s="69"/>
      <c r="C273" s="69"/>
      <c r="D273" s="69"/>
      <c r="E273" s="69"/>
      <c r="F273" s="69"/>
      <c r="G273" s="71"/>
      <c r="H273" s="71"/>
      <c r="I273" s="72"/>
      <c r="J273" s="73" t="str">
        <f aca="false">IF($I273="","",IFERROR($I273*INDEX(TAXAS,MATCH($H273,MOEDAS,0)),""))</f>
        <v/>
      </c>
      <c r="K273" s="69"/>
    </row>
    <row r="274" customFormat="false" ht="18" hidden="false" customHeight="true" outlineLevel="0" collapsed="false">
      <c r="A274" s="83"/>
      <c r="B274" s="84"/>
      <c r="C274" s="84"/>
      <c r="D274" s="84"/>
      <c r="E274" s="84"/>
      <c r="F274" s="84"/>
      <c r="G274" s="85"/>
      <c r="H274" s="85"/>
      <c r="I274" s="86"/>
      <c r="J274" s="73" t="str">
        <f aca="false">IF($I274="","",IFERROR($I274*INDEX(TAXAS,MATCH($H274,MOEDAS,0)),""))</f>
        <v/>
      </c>
      <c r="K274" s="84"/>
    </row>
    <row r="275" customFormat="false" ht="18" hidden="false" customHeight="true" outlineLevel="0" collapsed="false">
      <c r="A275" s="82"/>
      <c r="B275" s="69"/>
      <c r="C275" s="69"/>
      <c r="D275" s="69"/>
      <c r="E275" s="69"/>
      <c r="F275" s="69"/>
      <c r="G275" s="71"/>
      <c r="H275" s="71"/>
      <c r="I275" s="72"/>
      <c r="J275" s="73" t="str">
        <f aca="false">IF($I275="","",IFERROR($I275*INDEX(TAXAS,MATCH($H275,MOEDAS,0)),""))</f>
        <v/>
      </c>
      <c r="K275" s="69"/>
    </row>
    <row r="276" customFormat="false" ht="18" hidden="false" customHeight="true" outlineLevel="0" collapsed="false">
      <c r="A276" s="83"/>
      <c r="B276" s="84"/>
      <c r="C276" s="84"/>
      <c r="D276" s="84"/>
      <c r="E276" s="84"/>
      <c r="F276" s="84"/>
      <c r="G276" s="85"/>
      <c r="H276" s="85"/>
      <c r="I276" s="86"/>
      <c r="J276" s="73" t="str">
        <f aca="false">IF($I276="","",IFERROR($I276*INDEX(TAXAS,MATCH($H276,MOEDAS,0)),""))</f>
        <v/>
      </c>
      <c r="K276" s="84"/>
    </row>
    <row r="277" customFormat="false" ht="18" hidden="false" customHeight="true" outlineLevel="0" collapsed="false">
      <c r="A277" s="82"/>
      <c r="B277" s="69"/>
      <c r="C277" s="69"/>
      <c r="D277" s="69"/>
      <c r="E277" s="69"/>
      <c r="F277" s="69"/>
      <c r="G277" s="71"/>
      <c r="H277" s="71"/>
      <c r="I277" s="72"/>
      <c r="J277" s="73" t="str">
        <f aca="false">IF($I277="","",IFERROR($I277*INDEX(TAXAS,MATCH($H277,MOEDAS,0)),""))</f>
        <v/>
      </c>
      <c r="K277" s="69"/>
    </row>
    <row r="278" customFormat="false" ht="18" hidden="false" customHeight="true" outlineLevel="0" collapsed="false">
      <c r="A278" s="83"/>
      <c r="B278" s="84"/>
      <c r="C278" s="84"/>
      <c r="D278" s="84"/>
      <c r="E278" s="84"/>
      <c r="F278" s="84"/>
      <c r="G278" s="85"/>
      <c r="H278" s="85"/>
      <c r="I278" s="86"/>
      <c r="J278" s="73" t="str">
        <f aca="false">IF($I278="","",IFERROR($I278*INDEX(TAXAS,MATCH($H278,MOEDAS,0)),""))</f>
        <v/>
      </c>
      <c r="K278" s="84"/>
    </row>
    <row r="279" customFormat="false" ht="18" hidden="false" customHeight="true" outlineLevel="0" collapsed="false">
      <c r="A279" s="82"/>
      <c r="B279" s="69"/>
      <c r="C279" s="69"/>
      <c r="D279" s="69"/>
      <c r="E279" s="69"/>
      <c r="F279" s="69"/>
      <c r="G279" s="71"/>
      <c r="H279" s="71"/>
      <c r="I279" s="72"/>
      <c r="J279" s="73" t="str">
        <f aca="false">IF($I279="","",IFERROR($I279*INDEX(TAXAS,MATCH($H279,MOEDAS,0)),""))</f>
        <v/>
      </c>
      <c r="K279" s="69"/>
    </row>
    <row r="280" customFormat="false" ht="18" hidden="false" customHeight="true" outlineLevel="0" collapsed="false">
      <c r="A280" s="83"/>
      <c r="B280" s="84"/>
      <c r="C280" s="84"/>
      <c r="D280" s="84"/>
      <c r="E280" s="84"/>
      <c r="F280" s="84"/>
      <c r="G280" s="85"/>
      <c r="H280" s="85"/>
      <c r="I280" s="86"/>
      <c r="J280" s="73" t="str">
        <f aca="false">IF($I280="","",IFERROR($I280*INDEX(TAXAS,MATCH($H280,MOEDAS,0)),""))</f>
        <v/>
      </c>
      <c r="K280" s="84"/>
    </row>
    <row r="281" customFormat="false" ht="18" hidden="false" customHeight="true" outlineLevel="0" collapsed="false">
      <c r="A281" s="82"/>
      <c r="B281" s="69"/>
      <c r="C281" s="69"/>
      <c r="D281" s="69"/>
      <c r="E281" s="69"/>
      <c r="F281" s="69"/>
      <c r="G281" s="71"/>
      <c r="H281" s="71"/>
      <c r="I281" s="72"/>
      <c r="J281" s="73" t="str">
        <f aca="false">IF($I281="","",IFERROR($I281*INDEX(TAXAS,MATCH($H281,MOEDAS,0)),""))</f>
        <v/>
      </c>
      <c r="K281" s="69"/>
    </row>
    <row r="282" customFormat="false" ht="18" hidden="false" customHeight="true" outlineLevel="0" collapsed="false">
      <c r="A282" s="83"/>
      <c r="B282" s="84"/>
      <c r="C282" s="84"/>
      <c r="D282" s="84"/>
      <c r="E282" s="84"/>
      <c r="F282" s="84"/>
      <c r="G282" s="85"/>
      <c r="H282" s="85"/>
      <c r="I282" s="86"/>
      <c r="J282" s="73" t="str">
        <f aca="false">IF($I282="","",IFERROR($I282*INDEX(TAXAS,MATCH($H282,MOEDAS,0)),""))</f>
        <v/>
      </c>
      <c r="K282" s="84"/>
    </row>
    <row r="283" customFormat="false" ht="18" hidden="false" customHeight="true" outlineLevel="0" collapsed="false">
      <c r="A283" s="82"/>
      <c r="B283" s="69"/>
      <c r="C283" s="69"/>
      <c r="D283" s="69"/>
      <c r="E283" s="69"/>
      <c r="F283" s="69"/>
      <c r="G283" s="71"/>
      <c r="H283" s="71"/>
      <c r="I283" s="72"/>
      <c r="J283" s="73" t="str">
        <f aca="false">IF($I283="","",IFERROR($I283*INDEX(TAXAS,MATCH($H283,MOEDAS,0)),""))</f>
        <v/>
      </c>
      <c r="K283" s="69"/>
    </row>
    <row r="284" customFormat="false" ht="18" hidden="false" customHeight="true" outlineLevel="0" collapsed="false">
      <c r="A284" s="83"/>
      <c r="B284" s="84"/>
      <c r="C284" s="84"/>
      <c r="D284" s="84"/>
      <c r="E284" s="84"/>
      <c r="F284" s="84"/>
      <c r="G284" s="85"/>
      <c r="H284" s="85"/>
      <c r="I284" s="86"/>
      <c r="J284" s="73" t="str">
        <f aca="false">IF($I284="","",IFERROR($I284*INDEX(TAXAS,MATCH($H284,MOEDAS,0)),""))</f>
        <v/>
      </c>
      <c r="K284" s="84"/>
    </row>
    <row r="285" customFormat="false" ht="18" hidden="false" customHeight="true" outlineLevel="0" collapsed="false">
      <c r="A285" s="82"/>
      <c r="B285" s="69"/>
      <c r="C285" s="69"/>
      <c r="D285" s="69"/>
      <c r="E285" s="69"/>
      <c r="F285" s="69"/>
      <c r="G285" s="71"/>
      <c r="H285" s="71"/>
      <c r="I285" s="72"/>
      <c r="J285" s="73" t="str">
        <f aca="false">IF($I285="","",IFERROR($I285*INDEX(TAXAS,MATCH($H285,MOEDAS,0)),""))</f>
        <v/>
      </c>
      <c r="K285" s="69"/>
    </row>
    <row r="286" customFormat="false" ht="18" hidden="false" customHeight="true" outlineLevel="0" collapsed="false">
      <c r="A286" s="83"/>
      <c r="B286" s="84"/>
      <c r="C286" s="84"/>
      <c r="D286" s="84"/>
      <c r="E286" s="84"/>
      <c r="F286" s="84"/>
      <c r="G286" s="85"/>
      <c r="H286" s="85"/>
      <c r="I286" s="86"/>
      <c r="J286" s="73" t="str">
        <f aca="false">IF($I286="","",IFERROR($I286*INDEX(TAXAS,MATCH($H286,MOEDAS,0)),""))</f>
        <v/>
      </c>
      <c r="K286" s="84"/>
    </row>
    <row r="287" customFormat="false" ht="18" hidden="false" customHeight="true" outlineLevel="0" collapsed="false">
      <c r="A287" s="82"/>
      <c r="B287" s="69"/>
      <c r="C287" s="69"/>
      <c r="D287" s="69"/>
      <c r="E287" s="69"/>
      <c r="F287" s="69"/>
      <c r="G287" s="71"/>
      <c r="H287" s="71"/>
      <c r="I287" s="72"/>
      <c r="J287" s="73" t="str">
        <f aca="false">IF($I287="","",IFERROR($I287*INDEX(TAXAS,MATCH($H287,MOEDAS,0)),""))</f>
        <v/>
      </c>
      <c r="K287" s="69"/>
    </row>
    <row r="288" customFormat="false" ht="18" hidden="false" customHeight="true" outlineLevel="0" collapsed="false">
      <c r="A288" s="83"/>
      <c r="B288" s="84"/>
      <c r="C288" s="84"/>
      <c r="D288" s="84"/>
      <c r="E288" s="84"/>
      <c r="F288" s="84"/>
      <c r="G288" s="85"/>
      <c r="H288" s="85"/>
      <c r="I288" s="86"/>
      <c r="J288" s="73" t="str">
        <f aca="false">IF($I288="","",IFERROR($I288*INDEX(TAXAS,MATCH($H288,MOEDAS,0)),""))</f>
        <v/>
      </c>
      <c r="K288" s="84"/>
    </row>
    <row r="289" customFormat="false" ht="18" hidden="false" customHeight="true" outlineLevel="0" collapsed="false">
      <c r="A289" s="82"/>
      <c r="B289" s="69"/>
      <c r="C289" s="69"/>
      <c r="D289" s="69"/>
      <c r="E289" s="69"/>
      <c r="F289" s="69"/>
      <c r="G289" s="71"/>
      <c r="H289" s="71"/>
      <c r="I289" s="72"/>
      <c r="J289" s="73" t="str">
        <f aca="false">IF($I289="","",IFERROR($I289*INDEX(TAXAS,MATCH($H289,MOEDAS,0)),""))</f>
        <v/>
      </c>
      <c r="K289" s="69"/>
    </row>
    <row r="290" customFormat="false" ht="18" hidden="false" customHeight="true" outlineLevel="0" collapsed="false">
      <c r="A290" s="83"/>
      <c r="B290" s="84"/>
      <c r="C290" s="84"/>
      <c r="D290" s="84"/>
      <c r="E290" s="84"/>
      <c r="F290" s="84"/>
      <c r="G290" s="85"/>
      <c r="H290" s="85"/>
      <c r="I290" s="86"/>
      <c r="J290" s="73" t="str">
        <f aca="false">IF($I290="","",IFERROR($I290*INDEX(TAXAS,MATCH($H290,MOEDAS,0)),""))</f>
        <v/>
      </c>
      <c r="K290" s="84"/>
    </row>
    <row r="291" customFormat="false" ht="18" hidden="false" customHeight="true" outlineLevel="0" collapsed="false">
      <c r="A291" s="82"/>
      <c r="B291" s="69"/>
      <c r="C291" s="69"/>
      <c r="D291" s="69"/>
      <c r="E291" s="69"/>
      <c r="F291" s="69"/>
      <c r="G291" s="71"/>
      <c r="H291" s="71"/>
      <c r="I291" s="72"/>
      <c r="J291" s="73" t="str">
        <f aca="false">IF($I291="","",IFERROR($I291*INDEX(TAXAS,MATCH($H291,MOEDAS,0)),""))</f>
        <v/>
      </c>
      <c r="K291" s="69"/>
    </row>
    <row r="292" customFormat="false" ht="18" hidden="false" customHeight="true" outlineLevel="0" collapsed="false">
      <c r="A292" s="83"/>
      <c r="B292" s="84"/>
      <c r="C292" s="84"/>
      <c r="D292" s="84"/>
      <c r="E292" s="84"/>
      <c r="F292" s="84"/>
      <c r="G292" s="85"/>
      <c r="H292" s="85"/>
      <c r="I292" s="86"/>
      <c r="J292" s="73" t="str">
        <f aca="false">IF($I292="","",IFERROR($I292*INDEX(TAXAS,MATCH($H292,MOEDAS,0)),""))</f>
        <v/>
      </c>
      <c r="K292" s="84"/>
    </row>
    <row r="293" customFormat="false" ht="18" hidden="false" customHeight="true" outlineLevel="0" collapsed="false">
      <c r="A293" s="82"/>
      <c r="B293" s="69"/>
      <c r="C293" s="69"/>
      <c r="D293" s="69"/>
      <c r="E293" s="69"/>
      <c r="F293" s="69"/>
      <c r="G293" s="71"/>
      <c r="H293" s="71"/>
      <c r="I293" s="72"/>
      <c r="J293" s="73" t="str">
        <f aca="false">IF($I293="","",IFERROR($I293*INDEX(TAXAS,MATCH($H293,MOEDAS,0)),""))</f>
        <v/>
      </c>
      <c r="K293" s="69"/>
    </row>
    <row r="294" customFormat="false" ht="18" hidden="false" customHeight="true" outlineLevel="0" collapsed="false">
      <c r="A294" s="83"/>
      <c r="B294" s="84"/>
      <c r="C294" s="84"/>
      <c r="D294" s="84"/>
      <c r="E294" s="84"/>
      <c r="F294" s="84"/>
      <c r="G294" s="85"/>
      <c r="H294" s="85"/>
      <c r="I294" s="86"/>
      <c r="J294" s="73" t="str">
        <f aca="false">IF($I294="","",IFERROR($I294*INDEX(TAXAS,MATCH($H294,MOEDAS,0)),""))</f>
        <v/>
      </c>
      <c r="K294" s="84"/>
    </row>
    <row r="295" customFormat="false" ht="18" hidden="false" customHeight="true" outlineLevel="0" collapsed="false">
      <c r="A295" s="82"/>
      <c r="B295" s="69"/>
      <c r="C295" s="69"/>
      <c r="D295" s="69"/>
      <c r="E295" s="69"/>
      <c r="F295" s="69"/>
      <c r="G295" s="71"/>
      <c r="H295" s="71"/>
      <c r="I295" s="72"/>
      <c r="J295" s="73" t="str">
        <f aca="false">IF($I295="","",IFERROR($I295*INDEX(TAXAS,MATCH($H295,MOEDAS,0)),""))</f>
        <v/>
      </c>
      <c r="K295" s="69"/>
    </row>
    <row r="296" customFormat="false" ht="18" hidden="false" customHeight="true" outlineLevel="0" collapsed="false">
      <c r="A296" s="83"/>
      <c r="B296" s="84"/>
      <c r="C296" s="84"/>
      <c r="D296" s="84"/>
      <c r="E296" s="84"/>
      <c r="F296" s="84"/>
      <c r="G296" s="85"/>
      <c r="H296" s="85"/>
      <c r="I296" s="86"/>
      <c r="J296" s="73" t="str">
        <f aca="false">IF($I296="","",IFERROR($I296*INDEX(TAXAS,MATCH($H296,MOEDAS,0)),""))</f>
        <v/>
      </c>
      <c r="K296" s="84"/>
    </row>
    <row r="297" customFormat="false" ht="18" hidden="false" customHeight="true" outlineLevel="0" collapsed="false">
      <c r="A297" s="82"/>
      <c r="B297" s="69"/>
      <c r="C297" s="69"/>
      <c r="D297" s="69"/>
      <c r="E297" s="69"/>
      <c r="F297" s="69"/>
      <c r="G297" s="71"/>
      <c r="H297" s="71"/>
      <c r="I297" s="72"/>
      <c r="J297" s="73" t="str">
        <f aca="false">IF($I297="","",IFERROR($I297*INDEX(TAXAS,MATCH($H297,MOEDAS,0)),""))</f>
        <v/>
      </c>
      <c r="K297" s="69"/>
    </row>
    <row r="298" customFormat="false" ht="18" hidden="false" customHeight="true" outlineLevel="0" collapsed="false">
      <c r="A298" s="83"/>
      <c r="B298" s="84"/>
      <c r="C298" s="84"/>
      <c r="D298" s="84"/>
      <c r="E298" s="84"/>
      <c r="F298" s="84"/>
      <c r="G298" s="85"/>
      <c r="H298" s="85"/>
      <c r="I298" s="86"/>
      <c r="J298" s="73" t="str">
        <f aca="false">IF($I298="","",IFERROR($I298*INDEX(TAXAS,MATCH($H298,MOEDAS,0)),""))</f>
        <v/>
      </c>
      <c r="K298" s="84"/>
    </row>
    <row r="299" customFormat="false" ht="18" hidden="false" customHeight="true" outlineLevel="0" collapsed="false">
      <c r="A299" s="82"/>
      <c r="B299" s="69"/>
      <c r="C299" s="69"/>
      <c r="D299" s="69"/>
      <c r="E299" s="69"/>
      <c r="F299" s="69"/>
      <c r="G299" s="71"/>
      <c r="H299" s="71"/>
      <c r="I299" s="72"/>
      <c r="J299" s="73" t="str">
        <f aca="false">IF($I299="","",IFERROR($I299*INDEX(TAXAS,MATCH($H299,MOEDAS,0)),""))</f>
        <v/>
      </c>
      <c r="K299" s="69"/>
    </row>
    <row r="300" customFormat="false" ht="18" hidden="false" customHeight="true" outlineLevel="0" collapsed="false">
      <c r="A300" s="83"/>
      <c r="B300" s="84"/>
      <c r="C300" s="84"/>
      <c r="D300" s="84"/>
      <c r="E300" s="84"/>
      <c r="F300" s="84"/>
      <c r="G300" s="85"/>
      <c r="H300" s="85"/>
      <c r="I300" s="86"/>
      <c r="J300" s="73" t="str">
        <f aca="false">IF($I300="","",IFERROR($I300*INDEX(TAXAS,MATCH($H300,MOEDAS,0)),""))</f>
        <v/>
      </c>
      <c r="K300" s="84"/>
    </row>
    <row r="301" customFormat="false" ht="18" hidden="false" customHeight="true" outlineLevel="0" collapsed="false">
      <c r="A301" s="82"/>
      <c r="B301" s="69"/>
      <c r="C301" s="69"/>
      <c r="D301" s="69"/>
      <c r="E301" s="69"/>
      <c r="F301" s="69"/>
      <c r="G301" s="71"/>
      <c r="H301" s="71"/>
      <c r="I301" s="72"/>
      <c r="J301" s="73" t="str">
        <f aca="false">IF($I301="","",IFERROR($I301*INDEX(TAXAS,MATCH($H301,MOEDAS,0)),""))</f>
        <v/>
      </c>
      <c r="K301" s="69"/>
    </row>
    <row r="302" customFormat="false" ht="18" hidden="false" customHeight="true" outlineLevel="0" collapsed="false">
      <c r="A302" s="83"/>
      <c r="B302" s="84"/>
      <c r="C302" s="84"/>
      <c r="D302" s="84"/>
      <c r="E302" s="84"/>
      <c r="F302" s="84"/>
      <c r="G302" s="85"/>
      <c r="H302" s="85"/>
      <c r="I302" s="86"/>
      <c r="J302" s="73" t="str">
        <f aca="false">IF($I302="","",IFERROR($I302*INDEX(TAXAS,MATCH($H302,MOEDAS,0)),""))</f>
        <v/>
      </c>
      <c r="K302" s="84"/>
    </row>
    <row r="303" customFormat="false" ht="18" hidden="false" customHeight="true" outlineLevel="0" collapsed="false">
      <c r="A303" s="82"/>
      <c r="B303" s="69"/>
      <c r="C303" s="69"/>
      <c r="D303" s="69"/>
      <c r="E303" s="69"/>
      <c r="F303" s="69"/>
      <c r="G303" s="71"/>
      <c r="H303" s="71"/>
      <c r="I303" s="72"/>
      <c r="J303" s="73" t="str">
        <f aca="false">IF($I303="","",IFERROR($I303*INDEX(TAXAS,MATCH($H303,MOEDAS,0)),""))</f>
        <v/>
      </c>
      <c r="K303" s="69"/>
    </row>
    <row r="304" customFormat="false" ht="18" hidden="false" customHeight="true" outlineLevel="0" collapsed="false">
      <c r="A304" s="83"/>
      <c r="B304" s="84"/>
      <c r="C304" s="84"/>
      <c r="D304" s="84"/>
      <c r="E304" s="84"/>
      <c r="F304" s="84"/>
      <c r="G304" s="85"/>
      <c r="H304" s="85"/>
      <c r="I304" s="86"/>
      <c r="J304" s="73" t="str">
        <f aca="false">IF($I304="","",IFERROR($I304*INDEX(TAXAS,MATCH($H304,MOEDAS,0)),""))</f>
        <v/>
      </c>
      <c r="K304" s="84"/>
    </row>
    <row r="305" customFormat="false" ht="18" hidden="false" customHeight="true" outlineLevel="0" collapsed="false">
      <c r="A305" s="82"/>
      <c r="B305" s="69"/>
      <c r="C305" s="69"/>
      <c r="D305" s="69"/>
      <c r="E305" s="69"/>
      <c r="F305" s="69"/>
      <c r="G305" s="71"/>
      <c r="H305" s="71"/>
      <c r="I305" s="72"/>
      <c r="J305" s="73" t="str">
        <f aca="false">IF($I305="","",IFERROR($I305*INDEX(TAXAS,MATCH($H305,MOEDAS,0)),""))</f>
        <v/>
      </c>
      <c r="K305" s="69"/>
    </row>
    <row r="306" customFormat="false" ht="18" hidden="false" customHeight="true" outlineLevel="0" collapsed="false">
      <c r="A306" s="83"/>
      <c r="B306" s="84"/>
      <c r="C306" s="84"/>
      <c r="D306" s="84"/>
      <c r="E306" s="84"/>
      <c r="F306" s="84"/>
      <c r="G306" s="85"/>
      <c r="H306" s="85"/>
      <c r="I306" s="86"/>
      <c r="J306" s="73" t="str">
        <f aca="false">IF($I306="","",IFERROR($I306*INDEX(TAXAS,MATCH($H306,MOEDAS,0)),""))</f>
        <v/>
      </c>
      <c r="K306" s="84"/>
    </row>
    <row r="307" customFormat="false" ht="18" hidden="false" customHeight="true" outlineLevel="0" collapsed="false">
      <c r="A307" s="82"/>
      <c r="B307" s="69"/>
      <c r="C307" s="69"/>
      <c r="D307" s="69"/>
      <c r="E307" s="69"/>
      <c r="F307" s="69"/>
      <c r="G307" s="71"/>
      <c r="H307" s="71"/>
      <c r="I307" s="72"/>
      <c r="J307" s="73" t="str">
        <f aca="false">IF($I307="","",IFERROR($I307*INDEX(TAXAS,MATCH($H307,MOEDAS,0)),""))</f>
        <v/>
      </c>
      <c r="K307" s="69"/>
    </row>
    <row r="308" customFormat="false" ht="18" hidden="false" customHeight="true" outlineLevel="0" collapsed="false">
      <c r="A308" s="83"/>
      <c r="B308" s="84"/>
      <c r="C308" s="84"/>
      <c r="D308" s="84"/>
      <c r="E308" s="84"/>
      <c r="F308" s="84"/>
      <c r="G308" s="85"/>
      <c r="H308" s="85"/>
      <c r="I308" s="86"/>
      <c r="J308" s="73" t="str">
        <f aca="false">IF($I308="","",IFERROR($I308*INDEX(TAXAS,MATCH($H308,MOEDAS,0)),""))</f>
        <v/>
      </c>
      <c r="K308" s="84"/>
    </row>
    <row r="309" customFormat="false" ht="18" hidden="false" customHeight="true" outlineLevel="0" collapsed="false">
      <c r="A309" s="82"/>
      <c r="B309" s="69"/>
      <c r="C309" s="69"/>
      <c r="D309" s="69"/>
      <c r="E309" s="69"/>
      <c r="F309" s="69"/>
      <c r="G309" s="71"/>
      <c r="H309" s="71"/>
      <c r="I309" s="72"/>
      <c r="J309" s="73" t="str">
        <f aca="false">IF($I309="","",IFERROR($I309*INDEX(TAXAS,MATCH($H309,MOEDAS,0)),""))</f>
        <v/>
      </c>
      <c r="K309" s="69"/>
    </row>
    <row r="310" customFormat="false" ht="18" hidden="false" customHeight="true" outlineLevel="0" collapsed="false">
      <c r="A310" s="83"/>
      <c r="B310" s="84"/>
      <c r="C310" s="84"/>
      <c r="D310" s="84"/>
      <c r="E310" s="84"/>
      <c r="F310" s="84"/>
      <c r="G310" s="85"/>
      <c r="H310" s="85"/>
      <c r="I310" s="86"/>
      <c r="J310" s="73" t="str">
        <f aca="false">IF($I310="","",IFERROR($I310*INDEX(TAXAS,MATCH($H310,MOEDAS,0)),""))</f>
        <v/>
      </c>
      <c r="K310" s="84"/>
    </row>
    <row r="311" customFormat="false" ht="18" hidden="false" customHeight="true" outlineLevel="0" collapsed="false">
      <c r="A311" s="82"/>
      <c r="B311" s="69"/>
      <c r="C311" s="69"/>
      <c r="D311" s="69"/>
      <c r="E311" s="69"/>
      <c r="F311" s="69"/>
      <c r="G311" s="71"/>
      <c r="H311" s="71"/>
      <c r="I311" s="72"/>
      <c r="J311" s="73" t="str">
        <f aca="false">IF($I311="","",IFERROR($I311*INDEX(TAXAS,MATCH($H311,MOEDAS,0)),""))</f>
        <v/>
      </c>
      <c r="K311" s="69"/>
    </row>
    <row r="312" customFormat="false" ht="18" hidden="false" customHeight="true" outlineLevel="0" collapsed="false">
      <c r="A312" s="83"/>
      <c r="B312" s="84"/>
      <c r="C312" s="84"/>
      <c r="D312" s="84"/>
      <c r="E312" s="84"/>
      <c r="F312" s="84"/>
      <c r="G312" s="85"/>
      <c r="H312" s="85"/>
      <c r="I312" s="86"/>
      <c r="J312" s="73" t="str">
        <f aca="false">IF($I312="","",IFERROR($I312*INDEX(TAXAS,MATCH($H312,MOEDAS,0)),""))</f>
        <v/>
      </c>
      <c r="K312" s="84"/>
    </row>
    <row r="313" customFormat="false" ht="18" hidden="false" customHeight="true" outlineLevel="0" collapsed="false">
      <c r="A313" s="82"/>
      <c r="B313" s="69"/>
      <c r="C313" s="69"/>
      <c r="D313" s="69"/>
      <c r="E313" s="69"/>
      <c r="F313" s="69"/>
      <c r="G313" s="71"/>
      <c r="H313" s="71"/>
      <c r="I313" s="72"/>
      <c r="J313" s="73" t="str">
        <f aca="false">IF($I313="","",IFERROR($I313*INDEX(TAXAS,MATCH($H313,MOEDAS,0)),""))</f>
        <v/>
      </c>
      <c r="K313" s="69"/>
    </row>
    <row r="314" customFormat="false" ht="18" hidden="false" customHeight="true" outlineLevel="0" collapsed="false">
      <c r="A314" s="83"/>
      <c r="B314" s="84"/>
      <c r="C314" s="84"/>
      <c r="D314" s="84"/>
      <c r="E314" s="84"/>
      <c r="F314" s="84"/>
      <c r="G314" s="85"/>
      <c r="H314" s="85"/>
      <c r="I314" s="86"/>
      <c r="J314" s="73" t="str">
        <f aca="false">IF($I314="","",IFERROR($I314*INDEX(TAXAS,MATCH($H314,MOEDAS,0)),""))</f>
        <v/>
      </c>
      <c r="K314" s="84"/>
    </row>
    <row r="315" customFormat="false" ht="18" hidden="false" customHeight="true" outlineLevel="0" collapsed="false">
      <c r="A315" s="82"/>
      <c r="B315" s="69"/>
      <c r="C315" s="69"/>
      <c r="D315" s="69"/>
      <c r="E315" s="69"/>
      <c r="F315" s="69"/>
      <c r="G315" s="71"/>
      <c r="H315" s="71"/>
      <c r="I315" s="72"/>
      <c r="J315" s="73" t="str">
        <f aca="false">IF($I315="","",IFERROR($I315*INDEX(TAXAS,MATCH($H315,MOEDAS,0)),""))</f>
        <v/>
      </c>
      <c r="K315" s="69"/>
    </row>
    <row r="316" customFormat="false" ht="18" hidden="false" customHeight="true" outlineLevel="0" collapsed="false">
      <c r="A316" s="83"/>
      <c r="B316" s="84"/>
      <c r="C316" s="84"/>
      <c r="D316" s="84"/>
      <c r="E316" s="84"/>
      <c r="F316" s="84"/>
      <c r="G316" s="85"/>
      <c r="H316" s="85"/>
      <c r="I316" s="86"/>
      <c r="J316" s="73" t="str">
        <f aca="false">IF($I316="","",IFERROR($I316*INDEX(TAXAS,MATCH($H316,MOEDAS,0)),""))</f>
        <v/>
      </c>
      <c r="K316" s="84"/>
    </row>
    <row r="317" customFormat="false" ht="18" hidden="false" customHeight="true" outlineLevel="0" collapsed="false">
      <c r="A317" s="82"/>
      <c r="B317" s="69"/>
      <c r="C317" s="69"/>
      <c r="D317" s="69"/>
      <c r="E317" s="69"/>
      <c r="F317" s="69"/>
      <c r="G317" s="71"/>
      <c r="H317" s="71"/>
      <c r="I317" s="72"/>
      <c r="J317" s="73" t="str">
        <f aca="false">IF($I317="","",IFERROR($I317*INDEX(TAXAS,MATCH($H317,MOEDAS,0)),""))</f>
        <v/>
      </c>
      <c r="K317" s="69"/>
    </row>
    <row r="318" customFormat="false" ht="18" hidden="false" customHeight="true" outlineLevel="0" collapsed="false">
      <c r="A318" s="83"/>
      <c r="B318" s="84"/>
      <c r="C318" s="84"/>
      <c r="D318" s="84"/>
      <c r="E318" s="84"/>
      <c r="F318" s="84"/>
      <c r="G318" s="85"/>
      <c r="H318" s="85"/>
      <c r="I318" s="86"/>
      <c r="J318" s="73" t="str">
        <f aca="false">IF($I318="","",IFERROR($I318*INDEX(TAXAS,MATCH($H318,MOEDAS,0)),""))</f>
        <v/>
      </c>
      <c r="K318" s="84"/>
    </row>
    <row r="319" customFormat="false" ht="18" hidden="false" customHeight="true" outlineLevel="0" collapsed="false">
      <c r="A319" s="82"/>
      <c r="B319" s="69"/>
      <c r="C319" s="69"/>
      <c r="D319" s="69"/>
      <c r="E319" s="69"/>
      <c r="F319" s="69"/>
      <c r="G319" s="71"/>
      <c r="H319" s="71"/>
      <c r="I319" s="72"/>
      <c r="J319" s="73" t="str">
        <f aca="false">IF($I319="","",IFERROR($I319*INDEX(TAXAS,MATCH($H319,MOEDAS,0)),""))</f>
        <v/>
      </c>
      <c r="K319" s="69"/>
    </row>
    <row r="320" customFormat="false" ht="18" hidden="false" customHeight="true" outlineLevel="0" collapsed="false">
      <c r="A320" s="83"/>
      <c r="B320" s="84"/>
      <c r="C320" s="84"/>
      <c r="D320" s="84"/>
      <c r="E320" s="84"/>
      <c r="F320" s="84"/>
      <c r="G320" s="85"/>
      <c r="H320" s="85"/>
      <c r="I320" s="86"/>
      <c r="J320" s="73" t="str">
        <f aca="false">IF($I320="","",IFERROR($I320*INDEX(TAXAS,MATCH($H320,MOEDAS,0)),""))</f>
        <v/>
      </c>
      <c r="K320" s="84"/>
    </row>
    <row r="321" customFormat="false" ht="18" hidden="false" customHeight="true" outlineLevel="0" collapsed="false">
      <c r="A321" s="82"/>
      <c r="B321" s="69"/>
      <c r="C321" s="69"/>
      <c r="D321" s="69"/>
      <c r="E321" s="69"/>
      <c r="F321" s="69"/>
      <c r="G321" s="71"/>
      <c r="H321" s="71"/>
      <c r="I321" s="72"/>
      <c r="J321" s="73" t="str">
        <f aca="false">IF($I321="","",IFERROR($I321*INDEX(TAXAS,MATCH($H321,MOEDAS,0)),""))</f>
        <v/>
      </c>
      <c r="K321" s="69"/>
    </row>
    <row r="322" customFormat="false" ht="18" hidden="false" customHeight="true" outlineLevel="0" collapsed="false">
      <c r="A322" s="83"/>
      <c r="B322" s="84"/>
      <c r="C322" s="84"/>
      <c r="D322" s="84"/>
      <c r="E322" s="84"/>
      <c r="F322" s="84"/>
      <c r="G322" s="85"/>
      <c r="H322" s="85"/>
      <c r="I322" s="86"/>
      <c r="J322" s="73" t="str">
        <f aca="false">IF($I322="","",IFERROR($I322*INDEX(TAXAS,MATCH($H322,MOEDAS,0)),""))</f>
        <v/>
      </c>
      <c r="K322" s="84"/>
    </row>
    <row r="323" customFormat="false" ht="18" hidden="false" customHeight="true" outlineLevel="0" collapsed="false">
      <c r="A323" s="82"/>
      <c r="B323" s="69"/>
      <c r="C323" s="69"/>
      <c r="D323" s="69"/>
      <c r="E323" s="69"/>
      <c r="F323" s="69"/>
      <c r="G323" s="71"/>
      <c r="H323" s="71"/>
      <c r="I323" s="72"/>
      <c r="J323" s="73" t="str">
        <f aca="false">IF($I323="","",IFERROR($I323*INDEX(TAXAS,MATCH($H323,MOEDAS,0)),""))</f>
        <v/>
      </c>
      <c r="K323" s="69"/>
    </row>
    <row r="324" customFormat="false" ht="18" hidden="false" customHeight="true" outlineLevel="0" collapsed="false">
      <c r="A324" s="83"/>
      <c r="B324" s="84"/>
      <c r="C324" s="84"/>
      <c r="D324" s="84"/>
      <c r="E324" s="84"/>
      <c r="F324" s="84"/>
      <c r="G324" s="85"/>
      <c r="H324" s="85"/>
      <c r="I324" s="86"/>
      <c r="J324" s="73" t="str">
        <f aca="false">IF($I324="","",IFERROR($I324*INDEX(TAXAS,MATCH($H324,MOEDAS,0)),""))</f>
        <v/>
      </c>
      <c r="K324" s="84"/>
    </row>
    <row r="325" customFormat="false" ht="18" hidden="false" customHeight="true" outlineLevel="0" collapsed="false">
      <c r="A325" s="82"/>
      <c r="B325" s="69"/>
      <c r="C325" s="69"/>
      <c r="D325" s="69"/>
      <c r="E325" s="69"/>
      <c r="F325" s="69"/>
      <c r="G325" s="71"/>
      <c r="H325" s="71"/>
      <c r="I325" s="72"/>
      <c r="J325" s="73" t="str">
        <f aca="false">IF($I325="","",IFERROR($I325*INDEX(TAXAS,MATCH($H325,MOEDAS,0)),""))</f>
        <v/>
      </c>
      <c r="K325" s="69"/>
    </row>
    <row r="326" customFormat="false" ht="18" hidden="false" customHeight="true" outlineLevel="0" collapsed="false">
      <c r="A326" s="83"/>
      <c r="B326" s="84"/>
      <c r="C326" s="84"/>
      <c r="D326" s="84"/>
      <c r="E326" s="84"/>
      <c r="F326" s="84"/>
      <c r="G326" s="85"/>
      <c r="H326" s="85"/>
      <c r="I326" s="86"/>
      <c r="J326" s="73" t="str">
        <f aca="false">IF($I326="","",IFERROR($I326*INDEX(TAXAS,MATCH($H326,MOEDAS,0)),""))</f>
        <v/>
      </c>
      <c r="K326" s="84"/>
    </row>
    <row r="327" customFormat="false" ht="18" hidden="false" customHeight="true" outlineLevel="0" collapsed="false">
      <c r="A327" s="82"/>
      <c r="B327" s="69"/>
      <c r="C327" s="69"/>
      <c r="D327" s="69"/>
      <c r="E327" s="69"/>
      <c r="F327" s="69"/>
      <c r="G327" s="71"/>
      <c r="H327" s="71"/>
      <c r="I327" s="72"/>
      <c r="J327" s="73" t="str">
        <f aca="false">IF($I327="","",IFERROR($I327*INDEX(TAXAS,MATCH($H327,MOEDAS,0)),""))</f>
        <v/>
      </c>
      <c r="K327" s="69"/>
    </row>
    <row r="328" customFormat="false" ht="18" hidden="false" customHeight="true" outlineLevel="0" collapsed="false">
      <c r="A328" s="83"/>
      <c r="B328" s="84"/>
      <c r="C328" s="84"/>
      <c r="D328" s="84"/>
      <c r="E328" s="84"/>
      <c r="F328" s="84"/>
      <c r="G328" s="85"/>
      <c r="H328" s="85"/>
      <c r="I328" s="86"/>
      <c r="J328" s="73" t="str">
        <f aca="false">IF($I328="","",IFERROR($I328*INDEX(TAXAS,MATCH($H328,MOEDAS,0)),""))</f>
        <v/>
      </c>
      <c r="K328" s="84"/>
    </row>
    <row r="329" customFormat="false" ht="18" hidden="false" customHeight="true" outlineLevel="0" collapsed="false">
      <c r="A329" s="82"/>
      <c r="B329" s="69"/>
      <c r="C329" s="69"/>
      <c r="D329" s="69"/>
      <c r="E329" s="69"/>
      <c r="F329" s="69"/>
      <c r="G329" s="71"/>
      <c r="H329" s="71"/>
      <c r="I329" s="72"/>
      <c r="J329" s="73" t="str">
        <f aca="false">IF($I329="","",IFERROR($I329*INDEX(TAXAS,MATCH($H329,MOEDAS,0)),""))</f>
        <v/>
      </c>
      <c r="K329" s="69"/>
    </row>
    <row r="330" customFormat="false" ht="18" hidden="false" customHeight="true" outlineLevel="0" collapsed="false">
      <c r="A330" s="83"/>
      <c r="B330" s="84"/>
      <c r="C330" s="84"/>
      <c r="D330" s="84"/>
      <c r="E330" s="84"/>
      <c r="F330" s="84"/>
      <c r="G330" s="85"/>
      <c r="H330" s="85"/>
      <c r="I330" s="86"/>
      <c r="J330" s="73" t="str">
        <f aca="false">IF($I330="","",IFERROR($I330*INDEX(TAXAS,MATCH($H330,MOEDAS,0)),""))</f>
        <v/>
      </c>
      <c r="K330" s="84"/>
    </row>
    <row r="331" customFormat="false" ht="18" hidden="false" customHeight="true" outlineLevel="0" collapsed="false">
      <c r="A331" s="82"/>
      <c r="B331" s="69"/>
      <c r="C331" s="69"/>
      <c r="D331" s="69"/>
      <c r="E331" s="69"/>
      <c r="F331" s="69"/>
      <c r="G331" s="71"/>
      <c r="H331" s="71"/>
      <c r="I331" s="72"/>
      <c r="J331" s="73" t="str">
        <f aca="false">IF($I331="","",IFERROR($I331*INDEX(TAXAS,MATCH($H331,MOEDAS,0)),""))</f>
        <v/>
      </c>
      <c r="K331" s="69"/>
    </row>
    <row r="332" customFormat="false" ht="18" hidden="false" customHeight="true" outlineLevel="0" collapsed="false">
      <c r="A332" s="83"/>
      <c r="B332" s="84"/>
      <c r="C332" s="84"/>
      <c r="D332" s="84"/>
      <c r="E332" s="84"/>
      <c r="F332" s="84"/>
      <c r="G332" s="85"/>
      <c r="H332" s="85"/>
      <c r="I332" s="86"/>
      <c r="J332" s="73" t="str">
        <f aca="false">IF($I332="","",IFERROR($I332*INDEX(TAXAS,MATCH($H332,MOEDAS,0)),""))</f>
        <v/>
      </c>
      <c r="K332" s="84"/>
    </row>
    <row r="333" customFormat="false" ht="18" hidden="false" customHeight="true" outlineLevel="0" collapsed="false">
      <c r="A333" s="82"/>
      <c r="B333" s="69"/>
      <c r="C333" s="69"/>
      <c r="D333" s="69"/>
      <c r="E333" s="69"/>
      <c r="F333" s="69"/>
      <c r="G333" s="71"/>
      <c r="H333" s="71"/>
      <c r="I333" s="72"/>
      <c r="J333" s="73" t="str">
        <f aca="false">IF($I333="","",IFERROR($I333*INDEX(TAXAS,MATCH($H333,MOEDAS,0)),""))</f>
        <v/>
      </c>
      <c r="K333" s="69"/>
    </row>
    <row r="334" customFormat="false" ht="18" hidden="false" customHeight="true" outlineLevel="0" collapsed="false">
      <c r="A334" s="83"/>
      <c r="B334" s="84"/>
      <c r="C334" s="84"/>
      <c r="D334" s="84"/>
      <c r="E334" s="84"/>
      <c r="F334" s="84"/>
      <c r="G334" s="85"/>
      <c r="H334" s="85"/>
      <c r="I334" s="86"/>
      <c r="J334" s="73" t="str">
        <f aca="false">IF($I334="","",IFERROR($I334*INDEX(TAXAS,MATCH($H334,MOEDAS,0)),""))</f>
        <v/>
      </c>
      <c r="K334" s="84"/>
    </row>
    <row r="335" customFormat="false" ht="18" hidden="false" customHeight="true" outlineLevel="0" collapsed="false">
      <c r="A335" s="82"/>
      <c r="B335" s="69"/>
      <c r="C335" s="69"/>
      <c r="D335" s="69"/>
      <c r="E335" s="69"/>
      <c r="F335" s="69"/>
      <c r="G335" s="71"/>
      <c r="H335" s="71"/>
      <c r="I335" s="72"/>
      <c r="J335" s="73" t="str">
        <f aca="false">IF($I335="","",IFERROR($I335*INDEX(TAXAS,MATCH($H335,MOEDAS,0)),""))</f>
        <v/>
      </c>
      <c r="K335" s="69"/>
    </row>
    <row r="336" customFormat="false" ht="18" hidden="false" customHeight="true" outlineLevel="0" collapsed="false">
      <c r="A336" s="83"/>
      <c r="B336" s="84"/>
      <c r="C336" s="84"/>
      <c r="D336" s="84"/>
      <c r="E336" s="84"/>
      <c r="F336" s="84"/>
      <c r="G336" s="85"/>
      <c r="H336" s="85"/>
      <c r="I336" s="86"/>
      <c r="J336" s="73" t="str">
        <f aca="false">IF($I336="","",IFERROR($I336*INDEX(TAXAS,MATCH($H336,MOEDAS,0)),""))</f>
        <v/>
      </c>
      <c r="K336" s="84"/>
    </row>
    <row r="337" customFormat="false" ht="18" hidden="false" customHeight="true" outlineLevel="0" collapsed="false">
      <c r="A337" s="82"/>
      <c r="B337" s="69"/>
      <c r="C337" s="69"/>
      <c r="D337" s="69"/>
      <c r="E337" s="69"/>
      <c r="F337" s="69"/>
      <c r="G337" s="71"/>
      <c r="H337" s="71"/>
      <c r="I337" s="72"/>
      <c r="J337" s="73" t="str">
        <f aca="false">IF($I337="","",IFERROR($I337*INDEX(TAXAS,MATCH($H337,MOEDAS,0)),""))</f>
        <v/>
      </c>
      <c r="K337" s="69"/>
    </row>
    <row r="338" customFormat="false" ht="18" hidden="false" customHeight="true" outlineLevel="0" collapsed="false">
      <c r="A338" s="83"/>
      <c r="B338" s="84"/>
      <c r="C338" s="84"/>
      <c r="D338" s="84"/>
      <c r="E338" s="84"/>
      <c r="F338" s="84"/>
      <c r="G338" s="85"/>
      <c r="H338" s="85"/>
      <c r="I338" s="86"/>
      <c r="J338" s="73" t="str">
        <f aca="false">IF($I338="","",IFERROR($I338*INDEX(TAXAS,MATCH($H338,MOEDAS,0)),""))</f>
        <v/>
      </c>
      <c r="K338" s="84"/>
    </row>
    <row r="339" customFormat="false" ht="18" hidden="false" customHeight="true" outlineLevel="0" collapsed="false">
      <c r="A339" s="82"/>
      <c r="B339" s="69"/>
      <c r="C339" s="69"/>
      <c r="D339" s="69"/>
      <c r="E339" s="69"/>
      <c r="F339" s="69"/>
      <c r="G339" s="71"/>
      <c r="H339" s="71"/>
      <c r="I339" s="72"/>
      <c r="J339" s="73" t="str">
        <f aca="false">IF($I339="","",IFERROR($I339*INDEX(TAXAS,MATCH($H339,MOEDAS,0)),""))</f>
        <v/>
      </c>
      <c r="K339" s="69"/>
    </row>
    <row r="340" customFormat="false" ht="18" hidden="false" customHeight="true" outlineLevel="0" collapsed="false">
      <c r="A340" s="83"/>
      <c r="B340" s="84"/>
      <c r="C340" s="84"/>
      <c r="D340" s="84"/>
      <c r="E340" s="84"/>
      <c r="F340" s="84"/>
      <c r="G340" s="85"/>
      <c r="H340" s="85"/>
      <c r="I340" s="86"/>
      <c r="J340" s="73" t="str">
        <f aca="false">IF($I340="","",IFERROR($I340*INDEX(TAXAS,MATCH($H340,MOEDAS,0)),""))</f>
        <v/>
      </c>
      <c r="K340" s="84"/>
    </row>
    <row r="341" customFormat="false" ht="18" hidden="false" customHeight="true" outlineLevel="0" collapsed="false">
      <c r="A341" s="82"/>
      <c r="B341" s="69"/>
      <c r="C341" s="69"/>
      <c r="D341" s="69"/>
      <c r="E341" s="69"/>
      <c r="F341" s="69"/>
      <c r="G341" s="71"/>
      <c r="H341" s="71"/>
      <c r="I341" s="72"/>
      <c r="J341" s="73" t="str">
        <f aca="false">IF($I341="","",IFERROR($I341*INDEX(TAXAS,MATCH($H341,MOEDAS,0)),""))</f>
        <v/>
      </c>
      <c r="K341" s="69"/>
    </row>
    <row r="342" customFormat="false" ht="18" hidden="false" customHeight="true" outlineLevel="0" collapsed="false">
      <c r="A342" s="83"/>
      <c r="B342" s="84"/>
      <c r="C342" s="84"/>
      <c r="D342" s="84"/>
      <c r="E342" s="84"/>
      <c r="F342" s="84"/>
      <c r="G342" s="85"/>
      <c r="H342" s="85"/>
      <c r="I342" s="86"/>
      <c r="J342" s="73" t="str">
        <f aca="false">IF($I342="","",IFERROR($I342*INDEX(TAXAS,MATCH($H342,MOEDAS,0)),""))</f>
        <v/>
      </c>
      <c r="K342" s="84"/>
    </row>
    <row r="343" customFormat="false" ht="18" hidden="false" customHeight="true" outlineLevel="0" collapsed="false">
      <c r="A343" s="82"/>
      <c r="B343" s="69"/>
      <c r="C343" s="69"/>
      <c r="D343" s="69"/>
      <c r="E343" s="69"/>
      <c r="F343" s="69"/>
      <c r="G343" s="71"/>
      <c r="H343" s="71"/>
      <c r="I343" s="72"/>
      <c r="J343" s="73" t="str">
        <f aca="false">IF($I343="","",IFERROR($I343*INDEX(TAXAS,MATCH($H343,MOEDAS,0)),""))</f>
        <v/>
      </c>
      <c r="K343" s="69"/>
    </row>
    <row r="344" customFormat="false" ht="18" hidden="false" customHeight="true" outlineLevel="0" collapsed="false">
      <c r="A344" s="83"/>
      <c r="B344" s="84"/>
      <c r="C344" s="84"/>
      <c r="D344" s="84"/>
      <c r="E344" s="84"/>
      <c r="F344" s="84"/>
      <c r="G344" s="85"/>
      <c r="H344" s="85"/>
      <c r="I344" s="86"/>
      <c r="J344" s="73" t="str">
        <f aca="false">IF($I344="","",IFERROR($I344*INDEX(TAXAS,MATCH($H344,MOEDAS,0)),""))</f>
        <v/>
      </c>
      <c r="K344" s="84"/>
    </row>
    <row r="345" customFormat="false" ht="18" hidden="false" customHeight="true" outlineLevel="0" collapsed="false">
      <c r="A345" s="82"/>
      <c r="B345" s="69"/>
      <c r="C345" s="69"/>
      <c r="D345" s="69"/>
      <c r="E345" s="69"/>
      <c r="F345" s="69"/>
      <c r="G345" s="71"/>
      <c r="H345" s="71"/>
      <c r="I345" s="72"/>
      <c r="J345" s="73" t="str">
        <f aca="false">IF($I345="","",IFERROR($I345*INDEX(TAXAS,MATCH($H345,MOEDAS,0)),""))</f>
        <v/>
      </c>
      <c r="K345" s="69"/>
    </row>
    <row r="346" customFormat="false" ht="18" hidden="false" customHeight="true" outlineLevel="0" collapsed="false">
      <c r="A346" s="83"/>
      <c r="B346" s="84"/>
      <c r="C346" s="84"/>
      <c r="D346" s="84"/>
      <c r="E346" s="84"/>
      <c r="F346" s="84"/>
      <c r="G346" s="85"/>
      <c r="H346" s="85"/>
      <c r="I346" s="86"/>
      <c r="J346" s="73" t="str">
        <f aca="false">IF($I346="","",IFERROR($I346*INDEX(TAXAS,MATCH($H346,MOEDAS,0)),""))</f>
        <v/>
      </c>
      <c r="K346" s="84"/>
    </row>
    <row r="347" customFormat="false" ht="18" hidden="false" customHeight="true" outlineLevel="0" collapsed="false">
      <c r="A347" s="82"/>
      <c r="B347" s="69"/>
      <c r="C347" s="69"/>
      <c r="D347" s="69"/>
      <c r="E347" s="69"/>
      <c r="F347" s="69"/>
      <c r="G347" s="71"/>
      <c r="H347" s="71"/>
      <c r="I347" s="72"/>
      <c r="J347" s="73" t="str">
        <f aca="false">IF($I347="","",IFERROR($I347*INDEX(TAXAS,MATCH($H347,MOEDAS,0)),""))</f>
        <v/>
      </c>
      <c r="K347" s="69"/>
    </row>
    <row r="348" customFormat="false" ht="18" hidden="false" customHeight="true" outlineLevel="0" collapsed="false">
      <c r="A348" s="83"/>
      <c r="B348" s="84"/>
      <c r="C348" s="84"/>
      <c r="D348" s="84"/>
      <c r="E348" s="84"/>
      <c r="F348" s="84"/>
      <c r="G348" s="85"/>
      <c r="H348" s="85"/>
      <c r="I348" s="86"/>
      <c r="J348" s="73" t="str">
        <f aca="false">IF($I348="","",IFERROR($I348*INDEX(TAXAS,MATCH($H348,MOEDAS,0)),""))</f>
        <v/>
      </c>
      <c r="K348" s="84"/>
    </row>
    <row r="349" customFormat="false" ht="18" hidden="false" customHeight="true" outlineLevel="0" collapsed="false">
      <c r="A349" s="82"/>
      <c r="B349" s="69"/>
      <c r="C349" s="69"/>
      <c r="D349" s="69"/>
      <c r="E349" s="69"/>
      <c r="F349" s="69"/>
      <c r="G349" s="71"/>
      <c r="H349" s="71"/>
      <c r="I349" s="72"/>
      <c r="J349" s="73" t="str">
        <f aca="false">IF($I349="","",IFERROR($I349*INDEX(TAXAS,MATCH($H349,MOEDAS,0)),""))</f>
        <v/>
      </c>
      <c r="K349" s="69"/>
    </row>
    <row r="350" customFormat="false" ht="18" hidden="false" customHeight="true" outlineLevel="0" collapsed="false">
      <c r="A350" s="83"/>
      <c r="B350" s="84"/>
      <c r="C350" s="84"/>
      <c r="D350" s="84"/>
      <c r="E350" s="84"/>
      <c r="F350" s="84"/>
      <c r="G350" s="85"/>
      <c r="H350" s="85"/>
      <c r="I350" s="86"/>
      <c r="J350" s="73" t="str">
        <f aca="false">IF($I350="","",IFERROR($I350*INDEX(TAXAS,MATCH($H350,MOEDAS,0)),""))</f>
        <v/>
      </c>
      <c r="K350" s="84"/>
    </row>
    <row r="351" customFormat="false" ht="18" hidden="false" customHeight="true" outlineLevel="0" collapsed="false">
      <c r="A351" s="82"/>
      <c r="B351" s="69"/>
      <c r="C351" s="69"/>
      <c r="D351" s="69"/>
      <c r="E351" s="69"/>
      <c r="F351" s="69"/>
      <c r="G351" s="71"/>
      <c r="H351" s="71"/>
      <c r="I351" s="72"/>
      <c r="J351" s="73" t="str">
        <f aca="false">IF($I351="","",IFERROR($I351*INDEX(TAXAS,MATCH($H351,MOEDAS,0)),""))</f>
        <v/>
      </c>
      <c r="K351" s="69"/>
    </row>
    <row r="352" customFormat="false" ht="18" hidden="false" customHeight="true" outlineLevel="0" collapsed="false">
      <c r="A352" s="83"/>
      <c r="B352" s="84"/>
      <c r="C352" s="84"/>
      <c r="D352" s="84"/>
      <c r="E352" s="84"/>
      <c r="F352" s="84"/>
      <c r="G352" s="85"/>
      <c r="H352" s="85"/>
      <c r="I352" s="86"/>
      <c r="J352" s="73" t="str">
        <f aca="false">IF($I352="","",IFERROR($I352*INDEX(TAXAS,MATCH($H352,MOEDAS,0)),""))</f>
        <v/>
      </c>
      <c r="K352" s="84"/>
    </row>
    <row r="353" customFormat="false" ht="18" hidden="false" customHeight="true" outlineLevel="0" collapsed="false">
      <c r="A353" s="82"/>
      <c r="B353" s="69"/>
      <c r="C353" s="69"/>
      <c r="D353" s="69"/>
      <c r="E353" s="69"/>
      <c r="F353" s="69"/>
      <c r="G353" s="71"/>
      <c r="H353" s="71"/>
      <c r="I353" s="72"/>
      <c r="J353" s="73" t="str">
        <f aca="false">IF($I353="","",IFERROR($I353*INDEX(TAXAS,MATCH($H353,MOEDAS,0)),""))</f>
        <v/>
      </c>
      <c r="K353" s="69"/>
    </row>
    <row r="354" customFormat="false" ht="18" hidden="false" customHeight="true" outlineLevel="0" collapsed="false">
      <c r="A354" s="83"/>
      <c r="B354" s="84"/>
      <c r="C354" s="84"/>
      <c r="D354" s="84"/>
      <c r="E354" s="84"/>
      <c r="F354" s="84"/>
      <c r="G354" s="85"/>
      <c r="H354" s="85"/>
      <c r="I354" s="86"/>
      <c r="J354" s="73" t="str">
        <f aca="false">IF($I354="","",IFERROR($I354*INDEX(TAXAS,MATCH($H354,MOEDAS,0)),""))</f>
        <v/>
      </c>
      <c r="K354" s="84"/>
    </row>
    <row r="355" customFormat="false" ht="18" hidden="false" customHeight="true" outlineLevel="0" collapsed="false">
      <c r="A355" s="82"/>
      <c r="B355" s="69"/>
      <c r="C355" s="69"/>
      <c r="D355" s="69"/>
      <c r="E355" s="69"/>
      <c r="F355" s="69"/>
      <c r="G355" s="71"/>
      <c r="H355" s="71"/>
      <c r="I355" s="72"/>
      <c r="J355" s="73" t="str">
        <f aca="false">IF($I355="","",IFERROR($I355*INDEX(TAXAS,MATCH($H355,MOEDAS,0)),""))</f>
        <v/>
      </c>
      <c r="K355" s="69"/>
    </row>
    <row r="356" customFormat="false" ht="18" hidden="false" customHeight="true" outlineLevel="0" collapsed="false">
      <c r="A356" s="83"/>
      <c r="B356" s="84"/>
      <c r="C356" s="84"/>
      <c r="D356" s="84"/>
      <c r="E356" s="84"/>
      <c r="F356" s="84"/>
      <c r="G356" s="85"/>
      <c r="H356" s="85"/>
      <c r="I356" s="86"/>
      <c r="J356" s="73" t="str">
        <f aca="false">IF($I356="","",IFERROR($I356*INDEX(TAXAS,MATCH($H356,MOEDAS,0)),""))</f>
        <v/>
      </c>
      <c r="K356" s="84"/>
    </row>
    <row r="357" customFormat="false" ht="18" hidden="false" customHeight="true" outlineLevel="0" collapsed="false">
      <c r="A357" s="82"/>
      <c r="B357" s="69"/>
      <c r="C357" s="69"/>
      <c r="D357" s="69"/>
      <c r="E357" s="69"/>
      <c r="F357" s="69"/>
      <c r="G357" s="71"/>
      <c r="H357" s="71"/>
      <c r="I357" s="72"/>
      <c r="J357" s="73" t="str">
        <f aca="false">IF($I357="","",IFERROR($I357*INDEX(TAXAS,MATCH($H357,MOEDAS,0)),""))</f>
        <v/>
      </c>
      <c r="K357" s="69"/>
    </row>
    <row r="358" customFormat="false" ht="18" hidden="false" customHeight="true" outlineLevel="0" collapsed="false">
      <c r="A358" s="83"/>
      <c r="B358" s="84"/>
      <c r="C358" s="84"/>
      <c r="D358" s="84"/>
      <c r="E358" s="84"/>
      <c r="F358" s="84"/>
      <c r="G358" s="85"/>
      <c r="H358" s="85"/>
      <c r="I358" s="86"/>
      <c r="J358" s="73" t="str">
        <f aca="false">IF($I358="","",IFERROR($I358*INDEX(TAXAS,MATCH($H358,MOEDAS,0)),""))</f>
        <v/>
      </c>
      <c r="K358" s="84"/>
    </row>
    <row r="359" customFormat="false" ht="18" hidden="false" customHeight="true" outlineLevel="0" collapsed="false">
      <c r="A359" s="82"/>
      <c r="B359" s="69"/>
      <c r="C359" s="69"/>
      <c r="D359" s="69"/>
      <c r="E359" s="69"/>
      <c r="F359" s="69"/>
      <c r="G359" s="71"/>
      <c r="H359" s="71"/>
      <c r="I359" s="72"/>
      <c r="J359" s="73" t="str">
        <f aca="false">IF($I359="","",IFERROR($I359*INDEX(TAXAS,MATCH($H359,MOEDAS,0)),""))</f>
        <v/>
      </c>
      <c r="K359" s="69"/>
    </row>
    <row r="360" customFormat="false" ht="18" hidden="false" customHeight="true" outlineLevel="0" collapsed="false">
      <c r="A360" s="83"/>
      <c r="B360" s="84"/>
      <c r="C360" s="84"/>
      <c r="D360" s="84"/>
      <c r="E360" s="84"/>
      <c r="F360" s="84"/>
      <c r="G360" s="85"/>
      <c r="H360" s="85"/>
      <c r="I360" s="86"/>
      <c r="J360" s="73" t="str">
        <f aca="false">IF($I360="","",IFERROR($I360*INDEX(TAXAS,MATCH($H360,MOEDAS,0)),""))</f>
        <v/>
      </c>
      <c r="K360" s="84"/>
    </row>
    <row r="361" customFormat="false" ht="18" hidden="false" customHeight="true" outlineLevel="0" collapsed="false">
      <c r="A361" s="82"/>
      <c r="B361" s="69"/>
      <c r="C361" s="69"/>
      <c r="D361" s="69"/>
      <c r="E361" s="69"/>
      <c r="F361" s="69"/>
      <c r="G361" s="71"/>
      <c r="H361" s="71"/>
      <c r="I361" s="72"/>
      <c r="J361" s="73" t="str">
        <f aca="false">IF($I361="","",IFERROR($I361*INDEX(TAXAS,MATCH($H361,MOEDAS,0)),""))</f>
        <v/>
      </c>
      <c r="K361" s="69"/>
    </row>
    <row r="362" customFormat="false" ht="18" hidden="false" customHeight="true" outlineLevel="0" collapsed="false">
      <c r="A362" s="83"/>
      <c r="B362" s="84"/>
      <c r="C362" s="84"/>
      <c r="D362" s="84"/>
      <c r="E362" s="84"/>
      <c r="F362" s="84"/>
      <c r="G362" s="85"/>
      <c r="H362" s="85"/>
      <c r="I362" s="86"/>
      <c r="J362" s="73" t="str">
        <f aca="false">IF($I362="","",IFERROR($I362*INDEX(TAXAS,MATCH($H362,MOEDAS,0)),""))</f>
        <v/>
      </c>
      <c r="K362" s="84"/>
    </row>
    <row r="363" customFormat="false" ht="18" hidden="false" customHeight="true" outlineLevel="0" collapsed="false">
      <c r="A363" s="82"/>
      <c r="B363" s="69"/>
      <c r="C363" s="69"/>
      <c r="D363" s="69"/>
      <c r="E363" s="69"/>
      <c r="F363" s="69"/>
      <c r="G363" s="71"/>
      <c r="H363" s="71"/>
      <c r="I363" s="72"/>
      <c r="J363" s="73" t="str">
        <f aca="false">IF($I363="","",IFERROR($I363*INDEX(TAXAS,MATCH($H363,MOEDAS,0)),""))</f>
        <v/>
      </c>
      <c r="K363" s="69"/>
    </row>
    <row r="364" customFormat="false" ht="18" hidden="false" customHeight="true" outlineLevel="0" collapsed="false">
      <c r="A364" s="83"/>
      <c r="B364" s="84"/>
      <c r="C364" s="84"/>
      <c r="D364" s="84"/>
      <c r="E364" s="84"/>
      <c r="F364" s="84"/>
      <c r="G364" s="85"/>
      <c r="H364" s="85"/>
      <c r="I364" s="86"/>
      <c r="J364" s="73" t="str">
        <f aca="false">IF($I364="","",IFERROR($I364*INDEX(TAXAS,MATCH($H364,MOEDAS,0)),""))</f>
        <v/>
      </c>
      <c r="K364" s="84"/>
    </row>
    <row r="365" customFormat="false" ht="18" hidden="false" customHeight="true" outlineLevel="0" collapsed="false">
      <c r="A365" s="82"/>
      <c r="B365" s="69"/>
      <c r="C365" s="69"/>
      <c r="D365" s="69"/>
      <c r="E365" s="69"/>
      <c r="F365" s="69"/>
      <c r="G365" s="71"/>
      <c r="H365" s="71"/>
      <c r="I365" s="72"/>
      <c r="J365" s="73" t="str">
        <f aca="false">IF($I365="","",IFERROR($I365*INDEX(TAXAS,MATCH($H365,MOEDAS,0)),""))</f>
        <v/>
      </c>
      <c r="K365" s="69"/>
    </row>
    <row r="366" customFormat="false" ht="18" hidden="false" customHeight="true" outlineLevel="0" collapsed="false">
      <c r="A366" s="83"/>
      <c r="B366" s="84"/>
      <c r="C366" s="84"/>
      <c r="D366" s="84"/>
      <c r="E366" s="84"/>
      <c r="F366" s="84"/>
      <c r="G366" s="85"/>
      <c r="H366" s="85"/>
      <c r="I366" s="86"/>
      <c r="J366" s="73" t="str">
        <f aca="false">IF($I366="","",IFERROR($I366*INDEX(TAXAS,MATCH($H366,MOEDAS,0)),""))</f>
        <v/>
      </c>
      <c r="K366" s="84"/>
    </row>
    <row r="367" customFormat="false" ht="18" hidden="false" customHeight="true" outlineLevel="0" collapsed="false">
      <c r="A367" s="82"/>
      <c r="B367" s="69"/>
      <c r="C367" s="69"/>
      <c r="D367" s="69"/>
      <c r="E367" s="69"/>
      <c r="F367" s="69"/>
      <c r="G367" s="71"/>
      <c r="H367" s="71"/>
      <c r="I367" s="72"/>
      <c r="J367" s="73" t="str">
        <f aca="false">IF($I367="","",IFERROR($I367*INDEX(TAXAS,MATCH($H367,MOEDAS,0)),""))</f>
        <v/>
      </c>
      <c r="K367" s="69"/>
    </row>
    <row r="368" customFormat="false" ht="18" hidden="false" customHeight="true" outlineLevel="0" collapsed="false">
      <c r="A368" s="83"/>
      <c r="B368" s="84"/>
      <c r="C368" s="84"/>
      <c r="D368" s="84"/>
      <c r="E368" s="84"/>
      <c r="F368" s="84"/>
      <c r="G368" s="85"/>
      <c r="H368" s="85"/>
      <c r="I368" s="86"/>
      <c r="J368" s="73" t="str">
        <f aca="false">IF($I368="","",IFERROR($I368*INDEX(TAXAS,MATCH($H368,MOEDAS,0)),""))</f>
        <v/>
      </c>
      <c r="K368" s="84"/>
    </row>
    <row r="369" customFormat="false" ht="18" hidden="false" customHeight="true" outlineLevel="0" collapsed="false">
      <c r="A369" s="82"/>
      <c r="B369" s="69"/>
      <c r="C369" s="69"/>
      <c r="D369" s="69"/>
      <c r="E369" s="69"/>
      <c r="F369" s="69"/>
      <c r="G369" s="71"/>
      <c r="H369" s="71"/>
      <c r="I369" s="72"/>
      <c r="J369" s="73" t="str">
        <f aca="false">IF($I369="","",IFERROR($I369*INDEX(TAXAS,MATCH($H369,MOEDAS,0)),""))</f>
        <v/>
      </c>
      <c r="K369" s="69"/>
    </row>
    <row r="370" customFormat="false" ht="18" hidden="false" customHeight="true" outlineLevel="0" collapsed="false">
      <c r="A370" s="83"/>
      <c r="B370" s="84"/>
      <c r="C370" s="84"/>
      <c r="D370" s="84"/>
      <c r="E370" s="84"/>
      <c r="F370" s="84"/>
      <c r="G370" s="85"/>
      <c r="H370" s="85"/>
      <c r="I370" s="86"/>
      <c r="J370" s="73" t="str">
        <f aca="false">IF($I370="","",IFERROR($I370*INDEX(TAXAS,MATCH($H370,MOEDAS,0)),""))</f>
        <v/>
      </c>
      <c r="K370" s="84"/>
    </row>
    <row r="371" customFormat="false" ht="18" hidden="false" customHeight="true" outlineLevel="0" collapsed="false">
      <c r="A371" s="82"/>
      <c r="B371" s="69"/>
      <c r="C371" s="69"/>
      <c r="D371" s="69"/>
      <c r="E371" s="69"/>
      <c r="F371" s="69"/>
      <c r="G371" s="71"/>
      <c r="H371" s="71"/>
      <c r="I371" s="72"/>
      <c r="J371" s="73" t="str">
        <f aca="false">IF($I371="","",IFERROR($I371*INDEX(TAXAS,MATCH($H371,MOEDAS,0)),""))</f>
        <v/>
      </c>
      <c r="K371" s="69"/>
    </row>
    <row r="372" customFormat="false" ht="18" hidden="false" customHeight="true" outlineLevel="0" collapsed="false">
      <c r="A372" s="83"/>
      <c r="B372" s="84"/>
      <c r="C372" s="84"/>
      <c r="D372" s="84"/>
      <c r="E372" s="84"/>
      <c r="F372" s="84"/>
      <c r="G372" s="85"/>
      <c r="H372" s="85"/>
      <c r="I372" s="86"/>
      <c r="J372" s="73" t="str">
        <f aca="false">IF($I372="","",IFERROR($I372*INDEX(TAXAS,MATCH($H372,MOEDAS,0)),""))</f>
        <v/>
      </c>
      <c r="K372" s="84"/>
    </row>
    <row r="373" customFormat="false" ht="18" hidden="false" customHeight="true" outlineLevel="0" collapsed="false">
      <c r="A373" s="82"/>
      <c r="B373" s="69"/>
      <c r="C373" s="69"/>
      <c r="D373" s="69"/>
      <c r="E373" s="69"/>
      <c r="F373" s="69"/>
      <c r="G373" s="71"/>
      <c r="H373" s="71"/>
      <c r="I373" s="72"/>
      <c r="J373" s="73" t="str">
        <f aca="false">IF($I373="","",IFERROR($I373*INDEX(TAXAS,MATCH($H373,MOEDAS,0)),""))</f>
        <v/>
      </c>
      <c r="K373" s="69"/>
    </row>
    <row r="374" customFormat="false" ht="18" hidden="false" customHeight="true" outlineLevel="0" collapsed="false">
      <c r="A374" s="83"/>
      <c r="B374" s="84"/>
      <c r="C374" s="84"/>
      <c r="D374" s="84"/>
      <c r="E374" s="84"/>
      <c r="F374" s="84"/>
      <c r="G374" s="85"/>
      <c r="H374" s="85"/>
      <c r="I374" s="86"/>
      <c r="J374" s="73" t="str">
        <f aca="false">IF($I374="","",IFERROR($I374*INDEX(TAXAS,MATCH($H374,MOEDAS,0)),""))</f>
        <v/>
      </c>
      <c r="K374" s="84"/>
    </row>
    <row r="375" customFormat="false" ht="18" hidden="false" customHeight="true" outlineLevel="0" collapsed="false">
      <c r="A375" s="82"/>
      <c r="B375" s="69"/>
      <c r="C375" s="69"/>
      <c r="D375" s="69"/>
      <c r="E375" s="69"/>
      <c r="F375" s="69"/>
      <c r="G375" s="71"/>
      <c r="H375" s="71"/>
      <c r="I375" s="72"/>
      <c r="J375" s="73" t="str">
        <f aca="false">IF($I375="","",IFERROR($I375*INDEX(TAXAS,MATCH($H375,MOEDAS,0)),""))</f>
        <v/>
      </c>
      <c r="K375" s="69"/>
    </row>
    <row r="376" customFormat="false" ht="18" hidden="false" customHeight="true" outlineLevel="0" collapsed="false">
      <c r="A376" s="83"/>
      <c r="B376" s="84"/>
      <c r="C376" s="84"/>
      <c r="D376" s="84"/>
      <c r="E376" s="84"/>
      <c r="F376" s="84"/>
      <c r="G376" s="85"/>
      <c r="H376" s="85"/>
      <c r="I376" s="86"/>
      <c r="J376" s="73" t="str">
        <f aca="false">IF($I376="","",IFERROR($I376*INDEX(TAXAS,MATCH($H376,MOEDAS,0)),""))</f>
        <v/>
      </c>
      <c r="K376" s="84"/>
    </row>
    <row r="377" customFormat="false" ht="18" hidden="false" customHeight="true" outlineLevel="0" collapsed="false">
      <c r="A377" s="82"/>
      <c r="B377" s="69"/>
      <c r="C377" s="69"/>
      <c r="D377" s="69"/>
      <c r="E377" s="69"/>
      <c r="F377" s="69"/>
      <c r="G377" s="71"/>
      <c r="H377" s="71"/>
      <c r="I377" s="72"/>
      <c r="J377" s="73" t="str">
        <f aca="false">IF($I377="","",IFERROR($I377*INDEX(TAXAS,MATCH($H377,MOEDAS,0)),""))</f>
        <v/>
      </c>
      <c r="K377" s="69"/>
    </row>
    <row r="378" customFormat="false" ht="18" hidden="false" customHeight="true" outlineLevel="0" collapsed="false">
      <c r="A378" s="83"/>
      <c r="B378" s="84"/>
      <c r="C378" s="84"/>
      <c r="D378" s="84"/>
      <c r="E378" s="84"/>
      <c r="F378" s="84"/>
      <c r="G378" s="85"/>
      <c r="H378" s="85"/>
      <c r="I378" s="86"/>
      <c r="J378" s="73" t="str">
        <f aca="false">IF($I378="","",IFERROR($I378*INDEX(TAXAS,MATCH($H378,MOEDAS,0)),""))</f>
        <v/>
      </c>
      <c r="K378" s="84"/>
    </row>
    <row r="379" customFormat="false" ht="18" hidden="false" customHeight="true" outlineLevel="0" collapsed="false">
      <c r="A379" s="82"/>
      <c r="B379" s="69"/>
      <c r="C379" s="69"/>
      <c r="D379" s="69"/>
      <c r="E379" s="69"/>
      <c r="F379" s="69"/>
      <c r="G379" s="71"/>
      <c r="H379" s="71"/>
      <c r="I379" s="72"/>
      <c r="J379" s="73" t="str">
        <f aca="false">IF($I379="","",IFERROR($I379*INDEX(TAXAS,MATCH($H379,MOEDAS,0)),""))</f>
        <v/>
      </c>
      <c r="K379" s="69"/>
    </row>
    <row r="380" customFormat="false" ht="18" hidden="false" customHeight="true" outlineLevel="0" collapsed="false">
      <c r="A380" s="83"/>
      <c r="B380" s="84"/>
      <c r="C380" s="84"/>
      <c r="D380" s="84"/>
      <c r="E380" s="84"/>
      <c r="F380" s="84"/>
      <c r="G380" s="85"/>
      <c r="H380" s="85"/>
      <c r="I380" s="86"/>
      <c r="J380" s="73" t="str">
        <f aca="false">IF($I380="","",IFERROR($I380*INDEX(TAXAS,MATCH($H380,MOEDAS,0)),""))</f>
        <v/>
      </c>
      <c r="K380" s="84"/>
    </row>
    <row r="381" customFormat="false" ht="18" hidden="false" customHeight="true" outlineLevel="0" collapsed="false">
      <c r="A381" s="82"/>
      <c r="B381" s="69"/>
      <c r="C381" s="69"/>
      <c r="D381" s="69"/>
      <c r="E381" s="69"/>
      <c r="F381" s="69"/>
      <c r="G381" s="71"/>
      <c r="H381" s="71"/>
      <c r="I381" s="72"/>
      <c r="J381" s="73" t="str">
        <f aca="false">IF($I381="","",IFERROR($I381*INDEX(TAXAS,MATCH($H381,MOEDAS,0)),""))</f>
        <v/>
      </c>
      <c r="K381" s="69"/>
    </row>
    <row r="382" customFormat="false" ht="18" hidden="false" customHeight="true" outlineLevel="0" collapsed="false">
      <c r="A382" s="83"/>
      <c r="B382" s="84"/>
      <c r="C382" s="84"/>
      <c r="D382" s="84"/>
      <c r="E382" s="84"/>
      <c r="F382" s="84"/>
      <c r="G382" s="85"/>
      <c r="H382" s="85"/>
      <c r="I382" s="86"/>
      <c r="J382" s="73" t="str">
        <f aca="false">IF($I382="","",IFERROR($I382*INDEX(TAXAS,MATCH($H382,MOEDAS,0)),""))</f>
        <v/>
      </c>
      <c r="K382" s="84"/>
    </row>
    <row r="383" customFormat="false" ht="18" hidden="false" customHeight="true" outlineLevel="0" collapsed="false">
      <c r="A383" s="82"/>
      <c r="B383" s="69"/>
      <c r="C383" s="69"/>
      <c r="D383" s="69"/>
      <c r="E383" s="69"/>
      <c r="F383" s="69"/>
      <c r="G383" s="71"/>
      <c r="H383" s="71"/>
      <c r="I383" s="72"/>
      <c r="J383" s="73" t="str">
        <f aca="false">IF($I383="","",IFERROR($I383*INDEX(TAXAS,MATCH($H383,MOEDAS,0)),""))</f>
        <v/>
      </c>
      <c r="K383" s="69"/>
    </row>
    <row r="384" customFormat="false" ht="18" hidden="false" customHeight="true" outlineLevel="0" collapsed="false">
      <c r="A384" s="83"/>
      <c r="B384" s="84"/>
      <c r="C384" s="84"/>
      <c r="D384" s="84"/>
      <c r="E384" s="84"/>
      <c r="F384" s="84"/>
      <c r="G384" s="85"/>
      <c r="H384" s="85"/>
      <c r="I384" s="86"/>
      <c r="J384" s="73" t="str">
        <f aca="false">IF($I384="","",IFERROR($I384*INDEX(TAXAS,MATCH($H384,MOEDAS,0)),""))</f>
        <v/>
      </c>
      <c r="K384" s="84"/>
    </row>
    <row r="385" customFormat="false" ht="18" hidden="false" customHeight="true" outlineLevel="0" collapsed="false">
      <c r="A385" s="82"/>
      <c r="B385" s="69"/>
      <c r="C385" s="69"/>
      <c r="D385" s="69"/>
      <c r="E385" s="69"/>
      <c r="F385" s="69"/>
      <c r="G385" s="71"/>
      <c r="H385" s="71"/>
      <c r="I385" s="72"/>
      <c r="J385" s="73" t="str">
        <f aca="false">IF($I385="","",IFERROR($I385*INDEX(TAXAS,MATCH($H385,MOEDAS,0)),""))</f>
        <v/>
      </c>
      <c r="K385" s="69"/>
    </row>
    <row r="386" customFormat="false" ht="18" hidden="false" customHeight="true" outlineLevel="0" collapsed="false">
      <c r="A386" s="83"/>
      <c r="B386" s="84"/>
      <c r="C386" s="84"/>
      <c r="D386" s="84"/>
      <c r="E386" s="84"/>
      <c r="F386" s="84"/>
      <c r="G386" s="85"/>
      <c r="H386" s="85"/>
      <c r="I386" s="86"/>
      <c r="J386" s="73" t="str">
        <f aca="false">IF($I386="","",IFERROR($I386*INDEX(TAXAS,MATCH($H386,MOEDAS,0)),""))</f>
        <v/>
      </c>
      <c r="K386" s="84"/>
    </row>
    <row r="387" customFormat="false" ht="18" hidden="false" customHeight="true" outlineLevel="0" collapsed="false">
      <c r="A387" s="82"/>
      <c r="B387" s="69"/>
      <c r="C387" s="69"/>
      <c r="D387" s="69"/>
      <c r="E387" s="69"/>
      <c r="F387" s="69"/>
      <c r="G387" s="71"/>
      <c r="H387" s="71"/>
      <c r="I387" s="72"/>
      <c r="J387" s="73" t="str">
        <f aca="false">IF($I387="","",IFERROR($I387*INDEX(TAXAS,MATCH($H387,MOEDAS,0)),""))</f>
        <v/>
      </c>
      <c r="K387" s="69"/>
    </row>
    <row r="388" customFormat="false" ht="18" hidden="false" customHeight="true" outlineLevel="0" collapsed="false">
      <c r="A388" s="83"/>
      <c r="B388" s="84"/>
      <c r="C388" s="84"/>
      <c r="D388" s="84"/>
      <c r="E388" s="84"/>
      <c r="F388" s="84"/>
      <c r="G388" s="85"/>
      <c r="H388" s="85"/>
      <c r="I388" s="86"/>
      <c r="J388" s="73" t="str">
        <f aca="false">IF($I388="","",IFERROR($I388*INDEX(TAXAS,MATCH($H388,MOEDAS,0)),""))</f>
        <v/>
      </c>
      <c r="K388" s="84"/>
    </row>
    <row r="389" customFormat="false" ht="18" hidden="false" customHeight="true" outlineLevel="0" collapsed="false">
      <c r="A389" s="82"/>
      <c r="B389" s="69"/>
      <c r="C389" s="69"/>
      <c r="D389" s="69"/>
      <c r="E389" s="69"/>
      <c r="F389" s="69"/>
      <c r="G389" s="71"/>
      <c r="H389" s="71"/>
      <c r="I389" s="72"/>
      <c r="J389" s="73" t="str">
        <f aca="false">IF($I389="","",IFERROR($I389*INDEX(TAXAS,MATCH($H389,MOEDAS,0)),""))</f>
        <v/>
      </c>
      <c r="K389" s="69"/>
    </row>
    <row r="390" customFormat="false" ht="18" hidden="false" customHeight="true" outlineLevel="0" collapsed="false">
      <c r="A390" s="83"/>
      <c r="B390" s="84"/>
      <c r="C390" s="84"/>
      <c r="D390" s="84"/>
      <c r="E390" s="84"/>
      <c r="F390" s="84"/>
      <c r="G390" s="85"/>
      <c r="H390" s="85"/>
      <c r="I390" s="86"/>
      <c r="J390" s="73" t="str">
        <f aca="false">IF($I390="","",IFERROR($I390*INDEX(TAXAS,MATCH($H390,MOEDAS,0)),""))</f>
        <v/>
      </c>
      <c r="K390" s="84"/>
    </row>
    <row r="391" customFormat="false" ht="18" hidden="false" customHeight="true" outlineLevel="0" collapsed="false">
      <c r="A391" s="82"/>
      <c r="B391" s="69"/>
      <c r="C391" s="69"/>
      <c r="D391" s="69"/>
      <c r="E391" s="69"/>
      <c r="F391" s="69"/>
      <c r="G391" s="71"/>
      <c r="H391" s="71"/>
      <c r="I391" s="72"/>
      <c r="J391" s="73" t="str">
        <f aca="false">IF($I391="","",IFERROR($I391*INDEX(TAXAS,MATCH($H391,MOEDAS,0)),""))</f>
        <v/>
      </c>
      <c r="K391" s="69"/>
    </row>
    <row r="392" customFormat="false" ht="18" hidden="false" customHeight="true" outlineLevel="0" collapsed="false">
      <c r="A392" s="83"/>
      <c r="B392" s="84"/>
      <c r="C392" s="84"/>
      <c r="D392" s="84"/>
      <c r="E392" s="84"/>
      <c r="F392" s="84"/>
      <c r="G392" s="85"/>
      <c r="H392" s="85"/>
      <c r="I392" s="86"/>
      <c r="J392" s="73" t="str">
        <f aca="false">IF($I392="","",IFERROR($I392*INDEX(TAXAS,MATCH($H392,MOEDAS,0)),""))</f>
        <v/>
      </c>
      <c r="K392" s="84"/>
    </row>
    <row r="393" customFormat="false" ht="18" hidden="false" customHeight="true" outlineLevel="0" collapsed="false">
      <c r="A393" s="82"/>
      <c r="B393" s="69"/>
      <c r="C393" s="69"/>
      <c r="D393" s="69"/>
      <c r="E393" s="69"/>
      <c r="F393" s="69"/>
      <c r="G393" s="71"/>
      <c r="H393" s="71"/>
      <c r="I393" s="72"/>
      <c r="J393" s="73" t="str">
        <f aca="false">IF($I393="","",IFERROR($I393*INDEX(TAXAS,MATCH($H393,MOEDAS,0)),""))</f>
        <v/>
      </c>
      <c r="K393" s="69"/>
    </row>
    <row r="394" customFormat="false" ht="18" hidden="false" customHeight="true" outlineLevel="0" collapsed="false">
      <c r="A394" s="83"/>
      <c r="B394" s="84"/>
      <c r="C394" s="84"/>
      <c r="D394" s="84"/>
      <c r="E394" s="84"/>
      <c r="F394" s="84"/>
      <c r="G394" s="85"/>
      <c r="H394" s="85"/>
      <c r="I394" s="86"/>
      <c r="J394" s="73" t="str">
        <f aca="false">IF($I394="","",IFERROR($I394*INDEX(TAXAS,MATCH($H394,MOEDAS,0)),""))</f>
        <v/>
      </c>
      <c r="K394" s="84"/>
    </row>
    <row r="395" customFormat="false" ht="18" hidden="false" customHeight="true" outlineLevel="0" collapsed="false">
      <c r="A395" s="82"/>
      <c r="B395" s="69"/>
      <c r="C395" s="69"/>
      <c r="D395" s="69"/>
      <c r="E395" s="69"/>
      <c r="F395" s="69"/>
      <c r="G395" s="71"/>
      <c r="H395" s="71"/>
      <c r="I395" s="72"/>
      <c r="J395" s="73" t="str">
        <f aca="false">IF($I395="","",IFERROR($I395*INDEX(TAXAS,MATCH($H395,MOEDAS,0)),""))</f>
        <v/>
      </c>
      <c r="K395" s="69"/>
    </row>
    <row r="396" customFormat="false" ht="18" hidden="false" customHeight="true" outlineLevel="0" collapsed="false">
      <c r="A396" s="83"/>
      <c r="B396" s="84"/>
      <c r="C396" s="84"/>
      <c r="D396" s="84"/>
      <c r="E396" s="84"/>
      <c r="F396" s="84"/>
      <c r="G396" s="85"/>
      <c r="H396" s="85"/>
      <c r="I396" s="86"/>
      <c r="J396" s="73" t="str">
        <f aca="false">IF($I396="","",IFERROR($I396*INDEX(TAXAS,MATCH($H396,MOEDAS,0)),""))</f>
        <v/>
      </c>
      <c r="K396" s="84"/>
    </row>
    <row r="397" customFormat="false" ht="18" hidden="false" customHeight="true" outlineLevel="0" collapsed="false">
      <c r="A397" s="82"/>
      <c r="B397" s="69"/>
      <c r="C397" s="69"/>
      <c r="D397" s="69"/>
      <c r="E397" s="69"/>
      <c r="F397" s="69"/>
      <c r="G397" s="71"/>
      <c r="H397" s="71"/>
      <c r="I397" s="72"/>
      <c r="J397" s="73" t="str">
        <f aca="false">IF($I397="","",IFERROR($I397*INDEX(TAXAS,MATCH($H397,MOEDAS,0)),""))</f>
        <v/>
      </c>
      <c r="K397" s="69"/>
    </row>
    <row r="398" customFormat="false" ht="18" hidden="false" customHeight="true" outlineLevel="0" collapsed="false">
      <c r="A398" s="83"/>
      <c r="B398" s="84"/>
      <c r="C398" s="84"/>
      <c r="D398" s="84"/>
      <c r="E398" s="84"/>
      <c r="F398" s="84"/>
      <c r="G398" s="85"/>
      <c r="H398" s="85"/>
      <c r="I398" s="86"/>
      <c r="J398" s="73" t="str">
        <f aca="false">IF($I398="","",IFERROR($I398*INDEX(TAXAS,MATCH($H398,MOEDAS,0)),""))</f>
        <v/>
      </c>
      <c r="K398" s="84"/>
    </row>
    <row r="399" customFormat="false" ht="18" hidden="false" customHeight="true" outlineLevel="0" collapsed="false">
      <c r="A399" s="82"/>
      <c r="B399" s="69"/>
      <c r="C399" s="69"/>
      <c r="D399" s="69"/>
      <c r="E399" s="69"/>
      <c r="F399" s="69"/>
      <c r="G399" s="71"/>
      <c r="H399" s="71"/>
      <c r="I399" s="72"/>
      <c r="J399" s="73" t="str">
        <f aca="false">IF($I399="","",IFERROR($I399*INDEX(TAXAS,MATCH($H399,MOEDAS,0)),""))</f>
        <v/>
      </c>
      <c r="K399" s="69"/>
    </row>
    <row r="400" customFormat="false" ht="18" hidden="false" customHeight="true" outlineLevel="0" collapsed="false">
      <c r="A400" s="83"/>
      <c r="B400" s="84"/>
      <c r="C400" s="84"/>
      <c r="D400" s="84"/>
      <c r="E400" s="84"/>
      <c r="F400" s="84"/>
      <c r="G400" s="85"/>
      <c r="H400" s="85"/>
      <c r="I400" s="86"/>
      <c r="J400" s="73" t="str">
        <f aca="false">IF($I400="","",IFERROR($I400*INDEX(TAXAS,MATCH($H400,MOEDAS,0)),""))</f>
        <v/>
      </c>
      <c r="K400" s="84"/>
    </row>
  </sheetData>
  <autoFilter ref="A6:K400"/>
  <mergeCells count="2">
    <mergeCell ref="A3:K3"/>
    <mergeCell ref="A4:K4"/>
  </mergeCells>
  <conditionalFormatting sqref="G7:G400">
    <cfRule type="cellIs" priority="2" operator="equal" aboveAverage="0" equalAverage="0" bottom="0" percent="0" rank="0" text="" dxfId="12">
      <formula>"Pago"</formula>
    </cfRule>
    <cfRule type="cellIs" priority="3" operator="equal" aboveAverage="0" equalAverage="0" bottom="0" percent="0" rank="0" text="" dxfId="13">
      <formula>"Pendente"</formula>
    </cfRule>
    <cfRule type="cellIs" priority="4" operator="equal" aboveAverage="0" equalAverage="0" bottom="0" percent="0" rank="0" text="" dxfId="14">
      <formula>"Parcelado"</formula>
    </cfRule>
    <cfRule type="cellIs" priority="5" operator="equal" aboveAverage="0" equalAverage="0" bottom="0" percent="0" rank="0" text="" dxfId="15">
      <formula>"Reembolsado"</formula>
    </cfRule>
  </conditionalFormatting>
  <dataValidations count="6">
    <dataValidation allowBlank="true" error="Escolha uma das opções da lista." errorStyle="stop" errorTitle="Valor inválido" operator="between" prompt="Escolha uma categoria (editável na aba Listas)." promptTitle="Categorias" showDropDown="false" showErrorMessage="false" showInputMessage="false" sqref="B7:B400" type="list">
      <formula1>CATEGORIAS</formula1>
      <formula2>0</formula2>
    </dataValidation>
    <dataValidation allowBlank="true" error="Escolha uma das opções da lista." errorStyle="stop" errorTitle="Valor inválido" operator="between" prompt="Onde foi o gasto?" promptTitle="Cidades" showDropDown="false" showErrorMessage="false" showInputMessage="false" sqref="D7:D400" type="list">
      <formula1>CIDADES</formula1>
      <formula2>0</formula2>
    </dataValidation>
    <dataValidation allowBlank="true" error="Escolha uma das opções da lista." errorStyle="stop" errorTitle="Valor inválido" operator="between" prompt="Quem pagou?" promptTitle="Pessoas" showDropDown="false" showErrorMessage="false" showInputMessage="false" sqref="E7:E400" type="list">
      <formula1>PESSOAS</formula1>
      <formula2>0</formula2>
    </dataValidation>
    <dataValidation allowBlank="true" error="Escolha uma das opções da lista." errorStyle="stop" errorTitle="Valor inválido" operator="between" prompt="Como foi pago?" promptTitle="Pagamentos" showDropDown="false" showErrorMessage="false" showInputMessage="false" sqref="F7:F400" type="list">
      <formula1>PAGAMENTOS</formula1>
      <formula2>0</formula2>
    </dataValidation>
    <dataValidation allowBlank="true" error="Escolha uma das opções da lista." errorStyle="stop" errorTitle="Valor inválido" operator="between" prompt="Pago, Pendente, Parcelado ou Reembolsado." promptTitle="Status" showDropDown="false" showErrorMessage="false" showInputMessage="false" sqref="G7:G400" type="list">
      <formula1>STATUS</formula1>
      <formula2>0</formula2>
    </dataValidation>
    <dataValidation allowBlank="true" error="Escolha uma das opções da lista." errorStyle="stop" errorTitle="Valor inválido" operator="between" prompt="Moeda em que o valor foi pago." promptTitle="Moedas" showDropDown="false" showErrorMessage="false" showInputMessage="false" sqref="H7:H400" type="list">
      <formula1>MOEDAS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5A"/>
    <pageSetUpPr fitToPage="true"/>
  </sheetPr>
  <dimension ref="B1:K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1"/>
    <col collapsed="false" customWidth="true" hidden="false" outlineLevel="0" max="3" min="3" style="0" width="6"/>
    <col collapsed="false" customWidth="true" hidden="false" outlineLevel="0" max="11" min="4" style="0" width="13"/>
    <col collapsed="false" customWidth="true" hidden="false" outlineLevel="0" max="12" min="12" style="0" width="2.5"/>
  </cols>
  <sheetData>
    <row r="1" customFormat="false" ht="6" hidden="false" customHeight="true" outlineLevel="0" collapsed="false"/>
    <row r="2" customFormat="false" ht="6.75" hidden="false" customHeight="true" outlineLevel="0" collapsed="false"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36" hidden="false" customHeight="true" outlineLevel="0" collapsed="false">
      <c r="B3" s="2" t="s">
        <v>74</v>
      </c>
      <c r="C3" s="2"/>
      <c r="D3" s="2"/>
      <c r="E3" s="2"/>
      <c r="F3" s="2"/>
      <c r="G3" s="2"/>
      <c r="H3" s="2"/>
      <c r="I3" s="2"/>
      <c r="J3" s="2"/>
      <c r="K3" s="2"/>
    </row>
    <row r="4" customFormat="false" ht="19.5" hidden="false" customHeight="true" outlineLevel="0" collapsed="false">
      <c r="B4" s="3" t="s">
        <v>75</v>
      </c>
      <c r="C4" s="3"/>
      <c r="D4" s="3"/>
      <c r="E4" s="3"/>
      <c r="F4" s="3"/>
      <c r="G4" s="3"/>
      <c r="H4" s="3"/>
      <c r="I4" s="3"/>
      <c r="J4" s="3"/>
      <c r="K4" s="3"/>
    </row>
    <row r="5" customFormat="false" ht="12" hidden="false" customHeight="true" outlineLevel="0" collapsed="false"/>
    <row r="6" customFormat="false" ht="19.5" hidden="false" customHeight="true" outlineLevel="0" collapsed="false">
      <c r="B6" s="5" t="s">
        <v>76</v>
      </c>
      <c r="C6" s="5"/>
      <c r="D6" s="5"/>
      <c r="E6" s="5"/>
      <c r="F6" s="5"/>
      <c r="G6" s="5"/>
      <c r="H6" s="5"/>
      <c r="I6" s="5"/>
      <c r="J6" s="5"/>
      <c r="K6" s="5"/>
    </row>
    <row r="7" customFormat="false" ht="30" hidden="false" customHeight="true" outlineLevel="0" collapsed="false">
      <c r="B7" s="87" t="s">
        <v>77</v>
      </c>
      <c r="C7" s="87"/>
      <c r="D7" s="87"/>
      <c r="E7" s="87"/>
      <c r="F7" s="87"/>
      <c r="G7" s="87"/>
      <c r="H7" s="87"/>
      <c r="I7" s="87"/>
      <c r="J7" s="87"/>
      <c r="K7" s="87"/>
    </row>
    <row r="8" customFormat="false" ht="19.5" hidden="false" customHeight="true" outlineLevel="0" collapsed="false">
      <c r="B8" s="87" t="s">
        <v>78</v>
      </c>
      <c r="C8" s="87"/>
      <c r="D8" s="87"/>
      <c r="E8" s="87"/>
      <c r="F8" s="87"/>
      <c r="G8" s="87"/>
      <c r="H8" s="87"/>
      <c r="I8" s="87"/>
      <c r="J8" s="87"/>
      <c r="K8" s="87"/>
    </row>
    <row r="9" customFormat="false" ht="30" hidden="false" customHeight="true" outlineLevel="0" collapsed="false">
      <c r="B9" s="87" t="s">
        <v>79</v>
      </c>
      <c r="C9" s="87"/>
      <c r="D9" s="87"/>
      <c r="E9" s="87"/>
      <c r="F9" s="87"/>
      <c r="G9" s="87"/>
      <c r="H9" s="87"/>
      <c r="I9" s="87"/>
      <c r="J9" s="87"/>
      <c r="K9" s="87"/>
    </row>
    <row r="10" customFormat="false" ht="30" hidden="false" customHeight="true" outlineLevel="0" collapsed="false">
      <c r="B10" s="87" t="s">
        <v>80</v>
      </c>
      <c r="C10" s="87"/>
      <c r="D10" s="87"/>
      <c r="E10" s="87"/>
      <c r="F10" s="87"/>
      <c r="G10" s="87"/>
      <c r="H10" s="87"/>
      <c r="I10" s="87"/>
      <c r="J10" s="87"/>
      <c r="K10" s="87"/>
    </row>
    <row r="12" customFormat="false" ht="19.5" hidden="false" customHeight="true" outlineLevel="0" collapsed="false">
      <c r="B12" s="4" t="s">
        <v>81</v>
      </c>
      <c r="C12" s="4"/>
      <c r="D12" s="4"/>
      <c r="E12" s="4"/>
      <c r="F12" s="4"/>
      <c r="G12" s="4"/>
      <c r="H12" s="4"/>
      <c r="I12" s="4"/>
      <c r="J12" s="4"/>
      <c r="K12" s="4"/>
    </row>
    <row r="13" customFormat="false" ht="19.5" hidden="false" customHeight="true" outlineLevel="0" collapsed="false">
      <c r="B13" s="36" t="s">
        <v>82</v>
      </c>
      <c r="C13" s="36"/>
      <c r="D13" s="36"/>
      <c r="E13" s="36"/>
      <c r="F13" s="37" t="s">
        <v>83</v>
      </c>
      <c r="G13" s="37"/>
      <c r="H13" s="37"/>
      <c r="I13" s="37" t="s">
        <v>84</v>
      </c>
      <c r="J13" s="38" t="s">
        <v>85</v>
      </c>
      <c r="K13" s="38"/>
    </row>
    <row r="14" customFormat="false" ht="25.5" hidden="false" customHeight="true" outlineLevel="0" collapsed="false">
      <c r="B14" s="88" t="s">
        <v>70</v>
      </c>
      <c r="C14" s="88"/>
      <c r="D14" s="88"/>
      <c r="E14" s="88"/>
      <c r="F14" s="89" t="s">
        <v>86</v>
      </c>
      <c r="G14" s="89"/>
      <c r="H14" s="89"/>
      <c r="I14" s="89" t="n">
        <v>7</v>
      </c>
      <c r="J14" s="90" t="s">
        <v>87</v>
      </c>
      <c r="K14" s="90"/>
    </row>
    <row r="15" customFormat="false" ht="25.5" hidden="false" customHeight="true" outlineLevel="0" collapsed="false">
      <c r="B15" s="91" t="s">
        <v>88</v>
      </c>
      <c r="C15" s="91"/>
      <c r="D15" s="91"/>
      <c r="E15" s="91"/>
      <c r="F15" s="92" t="s">
        <v>89</v>
      </c>
      <c r="G15" s="92"/>
      <c r="H15" s="92"/>
      <c r="I15" s="92" t="s">
        <v>90</v>
      </c>
      <c r="J15" s="93" t="s">
        <v>91</v>
      </c>
      <c r="K15" s="93"/>
    </row>
    <row r="16" customFormat="false" ht="25.5" hidden="false" customHeight="true" outlineLevel="0" collapsed="false">
      <c r="B16" s="88" t="s">
        <v>92</v>
      </c>
      <c r="C16" s="88"/>
      <c r="D16" s="88"/>
      <c r="E16" s="88"/>
      <c r="F16" s="89" t="s">
        <v>93</v>
      </c>
      <c r="G16" s="89"/>
      <c r="H16" s="89"/>
      <c r="I16" s="89" t="s">
        <v>90</v>
      </c>
      <c r="J16" s="90" t="s">
        <v>94</v>
      </c>
      <c r="K16" s="90"/>
    </row>
    <row r="17" customFormat="false" ht="25.5" hidden="false" customHeight="true" outlineLevel="0" collapsed="false">
      <c r="B17" s="91" t="s">
        <v>95</v>
      </c>
      <c r="C17" s="91"/>
      <c r="D17" s="91"/>
      <c r="E17" s="91"/>
      <c r="F17" s="92" t="s">
        <v>96</v>
      </c>
      <c r="G17" s="92"/>
      <c r="H17" s="92"/>
      <c r="I17" s="92" t="n">
        <v>4</v>
      </c>
      <c r="J17" s="93" t="s">
        <v>97</v>
      </c>
      <c r="K17" s="93"/>
    </row>
    <row r="18" customFormat="false" ht="25.5" hidden="false" customHeight="true" outlineLevel="0" collapsed="false">
      <c r="B18" s="88" t="s">
        <v>98</v>
      </c>
      <c r="C18" s="88"/>
      <c r="D18" s="88"/>
      <c r="E18" s="88"/>
      <c r="F18" s="89" t="s">
        <v>99</v>
      </c>
      <c r="G18" s="89"/>
      <c r="H18" s="89"/>
      <c r="I18" s="89" t="n">
        <v>3</v>
      </c>
      <c r="J18" s="90" t="s">
        <v>100</v>
      </c>
      <c r="K18" s="90"/>
    </row>
    <row r="19" customFormat="false" ht="25.5" hidden="false" customHeight="true" outlineLevel="0" collapsed="false">
      <c r="B19" s="94" t="s">
        <v>101</v>
      </c>
      <c r="C19" s="94"/>
      <c r="D19" s="94"/>
      <c r="E19" s="94"/>
      <c r="F19" s="95" t="s">
        <v>102</v>
      </c>
      <c r="G19" s="95"/>
      <c r="H19" s="95"/>
      <c r="I19" s="95" t="n">
        <v>1</v>
      </c>
      <c r="J19" s="96" t="s">
        <v>103</v>
      </c>
      <c r="K19" s="96"/>
    </row>
    <row r="21" customFormat="false" ht="19.5" hidden="false" customHeight="true" outlineLevel="0" collapsed="false">
      <c r="B21" s="4" t="s">
        <v>104</v>
      </c>
      <c r="C21" s="4"/>
      <c r="D21" s="4"/>
      <c r="E21" s="4"/>
      <c r="F21" s="4"/>
      <c r="G21" s="4"/>
      <c r="H21" s="4"/>
      <c r="I21" s="4"/>
      <c r="J21" s="4"/>
      <c r="K21" s="4"/>
    </row>
    <row r="22" customFormat="false" ht="19.5" hidden="false" customHeight="true" outlineLevel="0" collapsed="false">
      <c r="B22" s="36" t="s">
        <v>55</v>
      </c>
      <c r="C22" s="37" t="s">
        <v>105</v>
      </c>
      <c r="D22" s="37" t="s">
        <v>106</v>
      </c>
      <c r="E22" s="37"/>
      <c r="F22" s="37" t="s">
        <v>107</v>
      </c>
      <c r="G22" s="37"/>
      <c r="H22" s="37"/>
      <c r="I22" s="37"/>
      <c r="J22" s="38" t="s">
        <v>108</v>
      </c>
      <c r="K22" s="38"/>
    </row>
    <row r="23" customFormat="false" ht="43.5" hidden="false" customHeight="true" outlineLevel="0" collapsed="false">
      <c r="B23" s="88" t="s">
        <v>109</v>
      </c>
      <c r="C23" s="89" t="s">
        <v>110</v>
      </c>
      <c r="D23" s="89" t="s">
        <v>70</v>
      </c>
      <c r="E23" s="89"/>
      <c r="F23" s="89" t="s">
        <v>111</v>
      </c>
      <c r="G23" s="89"/>
      <c r="H23" s="89"/>
      <c r="I23" s="89"/>
      <c r="J23" s="90" t="s">
        <v>112</v>
      </c>
      <c r="K23" s="90"/>
    </row>
    <row r="24" customFormat="false" ht="43.5" hidden="false" customHeight="true" outlineLevel="0" collapsed="false">
      <c r="B24" s="91" t="s">
        <v>113</v>
      </c>
      <c r="C24" s="92" t="s">
        <v>114</v>
      </c>
      <c r="D24" s="92" t="s">
        <v>70</v>
      </c>
      <c r="E24" s="92"/>
      <c r="F24" s="92" t="s">
        <v>115</v>
      </c>
      <c r="G24" s="92"/>
      <c r="H24" s="92"/>
      <c r="I24" s="92"/>
      <c r="J24" s="93" t="s">
        <v>116</v>
      </c>
      <c r="K24" s="93"/>
    </row>
    <row r="25" customFormat="false" ht="43.5" hidden="false" customHeight="true" outlineLevel="0" collapsed="false">
      <c r="B25" s="88" t="s">
        <v>117</v>
      </c>
      <c r="C25" s="89" t="s">
        <v>118</v>
      </c>
      <c r="D25" s="89" t="s">
        <v>70</v>
      </c>
      <c r="E25" s="89"/>
      <c r="F25" s="89" t="s">
        <v>119</v>
      </c>
      <c r="G25" s="89"/>
      <c r="H25" s="89"/>
      <c r="I25" s="89"/>
      <c r="J25" s="90" t="s">
        <v>120</v>
      </c>
      <c r="K25" s="90"/>
    </row>
    <row r="26" customFormat="false" ht="43.5" hidden="false" customHeight="true" outlineLevel="0" collapsed="false">
      <c r="B26" s="91" t="s">
        <v>121</v>
      </c>
      <c r="C26" s="92" t="s">
        <v>122</v>
      </c>
      <c r="D26" s="92" t="s">
        <v>70</v>
      </c>
      <c r="E26" s="92"/>
      <c r="F26" s="92" t="s">
        <v>123</v>
      </c>
      <c r="G26" s="92"/>
      <c r="H26" s="92"/>
      <c r="I26" s="92"/>
      <c r="J26" s="93" t="s">
        <v>124</v>
      </c>
      <c r="K26" s="93"/>
    </row>
    <row r="27" customFormat="false" ht="43.5" hidden="false" customHeight="true" outlineLevel="0" collapsed="false">
      <c r="B27" s="88" t="s">
        <v>125</v>
      </c>
      <c r="C27" s="89" t="s">
        <v>126</v>
      </c>
      <c r="D27" s="89" t="s">
        <v>70</v>
      </c>
      <c r="E27" s="89"/>
      <c r="F27" s="89" t="s">
        <v>127</v>
      </c>
      <c r="G27" s="89"/>
      <c r="H27" s="89"/>
      <c r="I27" s="89"/>
      <c r="J27" s="90" t="s">
        <v>128</v>
      </c>
      <c r="K27" s="90"/>
    </row>
    <row r="28" customFormat="false" ht="43.5" hidden="false" customHeight="true" outlineLevel="0" collapsed="false">
      <c r="B28" s="91" t="s">
        <v>129</v>
      </c>
      <c r="C28" s="92" t="s">
        <v>130</v>
      </c>
      <c r="D28" s="92" t="s">
        <v>70</v>
      </c>
      <c r="E28" s="92"/>
      <c r="F28" s="92" t="s">
        <v>131</v>
      </c>
      <c r="G28" s="92"/>
      <c r="H28" s="92"/>
      <c r="I28" s="92"/>
      <c r="J28" s="93" t="s">
        <v>132</v>
      </c>
      <c r="K28" s="93"/>
    </row>
    <row r="29" customFormat="false" ht="43.5" hidden="false" customHeight="true" outlineLevel="0" collapsed="false">
      <c r="B29" s="88" t="s">
        <v>89</v>
      </c>
      <c r="C29" s="89" t="s">
        <v>133</v>
      </c>
      <c r="D29" s="89" t="s">
        <v>134</v>
      </c>
      <c r="E29" s="89"/>
      <c r="F29" s="89" t="s">
        <v>135</v>
      </c>
      <c r="G29" s="89"/>
      <c r="H29" s="89"/>
      <c r="I29" s="89"/>
      <c r="J29" s="90" t="s">
        <v>136</v>
      </c>
      <c r="K29" s="90"/>
    </row>
    <row r="30" customFormat="false" ht="43.5" hidden="false" customHeight="true" outlineLevel="0" collapsed="false">
      <c r="B30" s="91" t="s">
        <v>93</v>
      </c>
      <c r="C30" s="92" t="s">
        <v>110</v>
      </c>
      <c r="D30" s="92" t="s">
        <v>92</v>
      </c>
      <c r="E30" s="92"/>
      <c r="F30" s="92" t="s">
        <v>137</v>
      </c>
      <c r="G30" s="92"/>
      <c r="H30" s="92"/>
      <c r="I30" s="92"/>
      <c r="J30" s="93" t="s">
        <v>138</v>
      </c>
      <c r="K30" s="93"/>
    </row>
    <row r="31" customFormat="false" ht="43.5" hidden="false" customHeight="true" outlineLevel="0" collapsed="false">
      <c r="B31" s="88" t="s">
        <v>139</v>
      </c>
      <c r="C31" s="89" t="s">
        <v>114</v>
      </c>
      <c r="D31" s="89" t="s">
        <v>140</v>
      </c>
      <c r="E31" s="89"/>
      <c r="F31" s="89" t="s">
        <v>141</v>
      </c>
      <c r="G31" s="89"/>
      <c r="H31" s="89"/>
      <c r="I31" s="89"/>
      <c r="J31" s="90" t="s">
        <v>142</v>
      </c>
      <c r="K31" s="90"/>
    </row>
    <row r="32" customFormat="false" ht="43.5" hidden="false" customHeight="true" outlineLevel="0" collapsed="false">
      <c r="B32" s="91" t="s">
        <v>143</v>
      </c>
      <c r="C32" s="92" t="s">
        <v>118</v>
      </c>
      <c r="D32" s="92" t="s">
        <v>95</v>
      </c>
      <c r="E32" s="92"/>
      <c r="F32" s="92" t="s">
        <v>144</v>
      </c>
      <c r="G32" s="92"/>
      <c r="H32" s="92"/>
      <c r="I32" s="92"/>
      <c r="J32" s="93" t="s">
        <v>145</v>
      </c>
      <c r="K32" s="93"/>
    </row>
    <row r="33" customFormat="false" ht="43.5" hidden="false" customHeight="true" outlineLevel="0" collapsed="false">
      <c r="B33" s="88" t="s">
        <v>146</v>
      </c>
      <c r="C33" s="89" t="s">
        <v>122</v>
      </c>
      <c r="D33" s="89" t="s">
        <v>95</v>
      </c>
      <c r="E33" s="89"/>
      <c r="F33" s="89" t="s">
        <v>147</v>
      </c>
      <c r="G33" s="89"/>
      <c r="H33" s="89"/>
      <c r="I33" s="89"/>
      <c r="J33" s="90" t="s">
        <v>148</v>
      </c>
      <c r="K33" s="90"/>
    </row>
    <row r="34" customFormat="false" ht="43.5" hidden="false" customHeight="true" outlineLevel="0" collapsed="false">
      <c r="B34" s="91" t="s">
        <v>149</v>
      </c>
      <c r="C34" s="92" t="s">
        <v>126</v>
      </c>
      <c r="D34" s="92" t="s">
        <v>150</v>
      </c>
      <c r="E34" s="92"/>
      <c r="F34" s="92" t="s">
        <v>151</v>
      </c>
      <c r="G34" s="92"/>
      <c r="H34" s="92"/>
      <c r="I34" s="92"/>
      <c r="J34" s="93" t="s">
        <v>152</v>
      </c>
      <c r="K34" s="93"/>
    </row>
    <row r="35" customFormat="false" ht="43.5" hidden="false" customHeight="true" outlineLevel="0" collapsed="false">
      <c r="B35" s="88" t="s">
        <v>153</v>
      </c>
      <c r="C35" s="89" t="s">
        <v>130</v>
      </c>
      <c r="D35" s="89" t="s">
        <v>154</v>
      </c>
      <c r="E35" s="89"/>
      <c r="F35" s="89" t="s">
        <v>155</v>
      </c>
      <c r="G35" s="89"/>
      <c r="H35" s="89"/>
      <c r="I35" s="89"/>
      <c r="J35" s="90" t="s">
        <v>156</v>
      </c>
      <c r="K35" s="90"/>
    </row>
    <row r="36" customFormat="false" ht="43.5" hidden="false" customHeight="true" outlineLevel="0" collapsed="false">
      <c r="B36" s="91" t="s">
        <v>157</v>
      </c>
      <c r="C36" s="92" t="s">
        <v>133</v>
      </c>
      <c r="D36" s="92" t="s">
        <v>98</v>
      </c>
      <c r="E36" s="92"/>
      <c r="F36" s="92" t="s">
        <v>158</v>
      </c>
      <c r="G36" s="92"/>
      <c r="H36" s="92"/>
      <c r="I36" s="92"/>
      <c r="J36" s="93" t="s">
        <v>159</v>
      </c>
      <c r="K36" s="93"/>
    </row>
    <row r="37" customFormat="false" ht="43.5" hidden="false" customHeight="true" outlineLevel="0" collapsed="false">
      <c r="B37" s="88" t="s">
        <v>160</v>
      </c>
      <c r="C37" s="89" t="s">
        <v>110</v>
      </c>
      <c r="D37" s="89" t="s">
        <v>98</v>
      </c>
      <c r="E37" s="89"/>
      <c r="F37" s="89" t="s">
        <v>161</v>
      </c>
      <c r="G37" s="89"/>
      <c r="H37" s="89"/>
      <c r="I37" s="89"/>
      <c r="J37" s="90" t="s">
        <v>162</v>
      </c>
      <c r="K37" s="90"/>
    </row>
    <row r="38" customFormat="false" ht="43.5" hidden="false" customHeight="true" outlineLevel="0" collapsed="false">
      <c r="B38" s="91" t="s">
        <v>163</v>
      </c>
      <c r="C38" s="92" t="s">
        <v>114</v>
      </c>
      <c r="D38" s="92" t="s">
        <v>164</v>
      </c>
      <c r="E38" s="92"/>
      <c r="F38" s="92" t="s">
        <v>165</v>
      </c>
      <c r="G38" s="92"/>
      <c r="H38" s="92"/>
      <c r="I38" s="92"/>
      <c r="J38" s="93" t="s">
        <v>166</v>
      </c>
      <c r="K38" s="93"/>
    </row>
    <row r="39" customFormat="false" ht="43.5" hidden="false" customHeight="true" outlineLevel="0" collapsed="false">
      <c r="B39" s="97" t="s">
        <v>167</v>
      </c>
      <c r="C39" s="98" t="s">
        <v>118</v>
      </c>
      <c r="D39" s="98" t="s">
        <v>168</v>
      </c>
      <c r="E39" s="98"/>
      <c r="F39" s="98" t="s">
        <v>169</v>
      </c>
      <c r="G39" s="98"/>
      <c r="H39" s="98"/>
      <c r="I39" s="98"/>
      <c r="J39" s="99" t="s">
        <v>170</v>
      </c>
      <c r="K39" s="99"/>
    </row>
    <row r="41" customFormat="false" ht="19.5" hidden="false" customHeight="true" outlineLevel="0" collapsed="false">
      <c r="B41" s="4" t="s">
        <v>171</v>
      </c>
      <c r="C41" s="4"/>
      <c r="D41" s="4"/>
      <c r="E41" s="4"/>
      <c r="F41" s="4"/>
      <c r="G41" s="4"/>
      <c r="H41" s="4"/>
      <c r="I41" s="4"/>
      <c r="J41" s="4"/>
      <c r="K41" s="4"/>
    </row>
    <row r="42" customFormat="false" ht="19.5" hidden="false" customHeight="true" outlineLevel="0" collapsed="false">
      <c r="B42" s="36" t="s">
        <v>172</v>
      </c>
      <c r="C42" s="36"/>
      <c r="D42" s="36"/>
      <c r="E42" s="38" t="s">
        <v>173</v>
      </c>
      <c r="F42" s="38"/>
      <c r="G42" s="38"/>
      <c r="H42" s="38"/>
      <c r="I42" s="38"/>
      <c r="J42" s="38"/>
      <c r="K42" s="38"/>
    </row>
    <row r="43" customFormat="false" ht="39.75" hidden="false" customHeight="true" outlineLevel="0" collapsed="false">
      <c r="B43" s="88" t="s">
        <v>70</v>
      </c>
      <c r="C43" s="88"/>
      <c r="D43" s="88"/>
      <c r="E43" s="90" t="s">
        <v>174</v>
      </c>
      <c r="F43" s="90"/>
      <c r="G43" s="90"/>
      <c r="H43" s="90"/>
      <c r="I43" s="90"/>
      <c r="J43" s="90"/>
      <c r="K43" s="90"/>
    </row>
    <row r="44" customFormat="false" ht="33.75" hidden="false" customHeight="true" outlineLevel="0" collapsed="false">
      <c r="B44" s="91" t="s">
        <v>175</v>
      </c>
      <c r="C44" s="91"/>
      <c r="D44" s="91"/>
      <c r="E44" s="93" t="s">
        <v>176</v>
      </c>
      <c r="F44" s="93"/>
      <c r="G44" s="93"/>
      <c r="H44" s="93"/>
      <c r="I44" s="93"/>
      <c r="J44" s="93"/>
      <c r="K44" s="93"/>
    </row>
    <row r="45" customFormat="false" ht="33.75" hidden="false" customHeight="true" outlineLevel="0" collapsed="false">
      <c r="B45" s="88" t="s">
        <v>92</v>
      </c>
      <c r="C45" s="88"/>
      <c r="D45" s="88"/>
      <c r="E45" s="90" t="s">
        <v>177</v>
      </c>
      <c r="F45" s="90"/>
      <c r="G45" s="90"/>
      <c r="H45" s="90"/>
      <c r="I45" s="90"/>
      <c r="J45" s="90"/>
      <c r="K45" s="90"/>
    </row>
    <row r="46" customFormat="false" ht="39.75" hidden="false" customHeight="true" outlineLevel="0" collapsed="false">
      <c r="B46" s="91" t="s">
        <v>95</v>
      </c>
      <c r="C46" s="91"/>
      <c r="D46" s="91"/>
      <c r="E46" s="93" t="s">
        <v>178</v>
      </c>
      <c r="F46" s="93"/>
      <c r="G46" s="93"/>
      <c r="H46" s="93"/>
      <c r="I46" s="93"/>
      <c r="J46" s="93"/>
      <c r="K46" s="93"/>
    </row>
    <row r="47" customFormat="false" ht="25.5" hidden="false" customHeight="true" outlineLevel="0" collapsed="false">
      <c r="B47" s="88" t="s">
        <v>179</v>
      </c>
      <c r="C47" s="88"/>
      <c r="D47" s="88"/>
      <c r="E47" s="90" t="s">
        <v>180</v>
      </c>
      <c r="F47" s="90"/>
      <c r="G47" s="90"/>
      <c r="H47" s="90"/>
      <c r="I47" s="90"/>
      <c r="J47" s="90"/>
      <c r="K47" s="90"/>
    </row>
    <row r="48" customFormat="false" ht="33.75" hidden="false" customHeight="true" outlineLevel="0" collapsed="false">
      <c r="B48" s="94" t="s">
        <v>98</v>
      </c>
      <c r="C48" s="94"/>
      <c r="D48" s="94"/>
      <c r="E48" s="96" t="s">
        <v>181</v>
      </c>
      <c r="F48" s="96"/>
      <c r="G48" s="96"/>
      <c r="H48" s="96"/>
      <c r="I48" s="96"/>
      <c r="J48" s="96"/>
      <c r="K48" s="96"/>
    </row>
    <row r="50" customFormat="false" ht="19.5" hidden="false" customHeight="true" outlineLevel="0" collapsed="false">
      <c r="B50" s="100" t="s">
        <v>182</v>
      </c>
      <c r="C50" s="100"/>
      <c r="D50" s="100"/>
      <c r="E50" s="100"/>
      <c r="F50" s="100"/>
      <c r="G50" s="100"/>
      <c r="H50" s="100"/>
      <c r="I50" s="100"/>
      <c r="J50" s="100"/>
      <c r="K50" s="100"/>
    </row>
    <row r="51" customFormat="false" ht="19.5" hidden="false" customHeight="true" outlineLevel="0" collapsed="false">
      <c r="B51" s="36" t="s">
        <v>183</v>
      </c>
      <c r="C51" s="36"/>
      <c r="D51" s="36"/>
      <c r="E51" s="36"/>
      <c r="F51" s="37" t="s">
        <v>184</v>
      </c>
      <c r="G51" s="37"/>
      <c r="H51" s="37"/>
      <c r="I51" s="37"/>
      <c r="J51" s="38" t="s">
        <v>58</v>
      </c>
      <c r="K51" s="38"/>
    </row>
    <row r="52" customFormat="false" ht="25.5" hidden="false" customHeight="true" outlineLevel="0" collapsed="false">
      <c r="B52" s="88" t="s">
        <v>185</v>
      </c>
      <c r="C52" s="88"/>
      <c r="D52" s="88"/>
      <c r="E52" s="88"/>
      <c r="F52" s="89" t="s">
        <v>186</v>
      </c>
      <c r="G52" s="89"/>
      <c r="H52" s="89"/>
      <c r="I52" s="89"/>
      <c r="J52" s="101" t="s">
        <v>187</v>
      </c>
      <c r="K52" s="101"/>
    </row>
    <row r="53" customFormat="false" ht="25.5" hidden="false" customHeight="true" outlineLevel="0" collapsed="false">
      <c r="B53" s="91" t="s">
        <v>188</v>
      </c>
      <c r="C53" s="91"/>
      <c r="D53" s="91"/>
      <c r="E53" s="91"/>
      <c r="F53" s="92" t="s">
        <v>189</v>
      </c>
      <c r="G53" s="92"/>
      <c r="H53" s="92"/>
      <c r="I53" s="92"/>
      <c r="J53" s="101" t="s">
        <v>187</v>
      </c>
      <c r="K53" s="101"/>
    </row>
    <row r="54" customFormat="false" ht="25.5" hidden="false" customHeight="true" outlineLevel="0" collapsed="false">
      <c r="B54" s="88" t="s">
        <v>190</v>
      </c>
      <c r="C54" s="88"/>
      <c r="D54" s="88"/>
      <c r="E54" s="88"/>
      <c r="F54" s="89" t="s">
        <v>191</v>
      </c>
      <c r="G54" s="89"/>
      <c r="H54" s="89"/>
      <c r="I54" s="89"/>
      <c r="J54" s="101" t="s">
        <v>187</v>
      </c>
      <c r="K54" s="101"/>
    </row>
    <row r="55" customFormat="false" ht="25.5" hidden="false" customHeight="true" outlineLevel="0" collapsed="false">
      <c r="B55" s="91" t="s">
        <v>192</v>
      </c>
      <c r="C55" s="91"/>
      <c r="D55" s="91"/>
      <c r="E55" s="91"/>
      <c r="F55" s="92" t="s">
        <v>193</v>
      </c>
      <c r="G55" s="92"/>
      <c r="H55" s="92"/>
      <c r="I55" s="92"/>
      <c r="J55" s="101" t="s">
        <v>187</v>
      </c>
      <c r="K55" s="101"/>
    </row>
    <row r="56" customFormat="false" ht="25.5" hidden="false" customHeight="true" outlineLevel="0" collapsed="false">
      <c r="B56" s="88" t="s">
        <v>194</v>
      </c>
      <c r="C56" s="88"/>
      <c r="D56" s="88"/>
      <c r="E56" s="88"/>
      <c r="F56" s="89" t="s">
        <v>195</v>
      </c>
      <c r="G56" s="89"/>
      <c r="H56" s="89"/>
      <c r="I56" s="89"/>
      <c r="J56" s="101" t="s">
        <v>187</v>
      </c>
      <c r="K56" s="101"/>
    </row>
    <row r="57" customFormat="false" ht="25.5" hidden="false" customHeight="true" outlineLevel="0" collapsed="false">
      <c r="B57" s="91" t="s">
        <v>196</v>
      </c>
      <c r="C57" s="91"/>
      <c r="D57" s="91"/>
      <c r="E57" s="91"/>
      <c r="F57" s="92" t="s">
        <v>197</v>
      </c>
      <c r="G57" s="92"/>
      <c r="H57" s="92"/>
      <c r="I57" s="92"/>
      <c r="J57" s="101" t="s">
        <v>187</v>
      </c>
      <c r="K57" s="101"/>
    </row>
    <row r="58" customFormat="false" ht="25.5" hidden="false" customHeight="true" outlineLevel="0" collapsed="false">
      <c r="B58" s="88" t="s">
        <v>198</v>
      </c>
      <c r="C58" s="88"/>
      <c r="D58" s="88"/>
      <c r="E58" s="88"/>
      <c r="F58" s="89" t="s">
        <v>199</v>
      </c>
      <c r="G58" s="89"/>
      <c r="H58" s="89"/>
      <c r="I58" s="89"/>
      <c r="J58" s="101" t="s">
        <v>187</v>
      </c>
      <c r="K58" s="101"/>
    </row>
    <row r="59" customFormat="false" ht="25.5" hidden="false" customHeight="true" outlineLevel="0" collapsed="false">
      <c r="B59" s="91" t="s">
        <v>200</v>
      </c>
      <c r="C59" s="91"/>
      <c r="D59" s="91"/>
      <c r="E59" s="91"/>
      <c r="F59" s="92" t="s">
        <v>201</v>
      </c>
      <c r="G59" s="92"/>
      <c r="H59" s="92"/>
      <c r="I59" s="92"/>
      <c r="J59" s="101" t="s">
        <v>187</v>
      </c>
      <c r="K59" s="101"/>
    </row>
    <row r="60" customFormat="false" ht="25.5" hidden="false" customHeight="true" outlineLevel="0" collapsed="false">
      <c r="B60" s="88" t="s">
        <v>202</v>
      </c>
      <c r="C60" s="88"/>
      <c r="D60" s="88"/>
      <c r="E60" s="88"/>
      <c r="F60" s="89" t="s">
        <v>203</v>
      </c>
      <c r="G60" s="89"/>
      <c r="H60" s="89"/>
      <c r="I60" s="89"/>
      <c r="J60" s="101" t="s">
        <v>187</v>
      </c>
      <c r="K60" s="101"/>
    </row>
    <row r="61" customFormat="false" ht="25.5" hidden="false" customHeight="true" outlineLevel="0" collapsed="false">
      <c r="B61" s="91" t="s">
        <v>204</v>
      </c>
      <c r="C61" s="91"/>
      <c r="D61" s="91"/>
      <c r="E61" s="91"/>
      <c r="F61" s="92" t="s">
        <v>205</v>
      </c>
      <c r="G61" s="92"/>
      <c r="H61" s="92"/>
      <c r="I61" s="92"/>
      <c r="J61" s="101" t="s">
        <v>187</v>
      </c>
      <c r="K61" s="101"/>
    </row>
    <row r="62" customFormat="false" ht="25.5" hidden="false" customHeight="true" outlineLevel="0" collapsed="false">
      <c r="B62" s="88" t="s">
        <v>206</v>
      </c>
      <c r="C62" s="88"/>
      <c r="D62" s="88"/>
      <c r="E62" s="88"/>
      <c r="F62" s="89" t="s">
        <v>207</v>
      </c>
      <c r="G62" s="89"/>
      <c r="H62" s="89"/>
      <c r="I62" s="89"/>
      <c r="J62" s="101" t="s">
        <v>187</v>
      </c>
      <c r="K62" s="101"/>
    </row>
    <row r="63" customFormat="false" ht="25.5" hidden="false" customHeight="true" outlineLevel="0" collapsed="false">
      <c r="B63" s="94" t="s">
        <v>208</v>
      </c>
      <c r="C63" s="94"/>
      <c r="D63" s="94"/>
      <c r="E63" s="94"/>
      <c r="F63" s="95" t="s">
        <v>209</v>
      </c>
      <c r="G63" s="95"/>
      <c r="H63" s="95"/>
      <c r="I63" s="95"/>
      <c r="J63" s="102" t="s">
        <v>187</v>
      </c>
      <c r="K63" s="102"/>
    </row>
    <row r="65" customFormat="false" ht="19.5" hidden="false" customHeight="true" outlineLevel="0" collapsed="false">
      <c r="B65" s="103" t="s">
        <v>210</v>
      </c>
      <c r="C65" s="103"/>
      <c r="D65" s="103"/>
      <c r="E65" s="103"/>
      <c r="F65" s="103"/>
      <c r="G65" s="103"/>
      <c r="H65" s="103"/>
      <c r="I65" s="103"/>
      <c r="J65" s="103"/>
      <c r="K65" s="103"/>
    </row>
    <row r="66" customFormat="false" ht="27.75" hidden="false" customHeight="true" outlineLevel="0" collapsed="false">
      <c r="B66" s="104" t="s">
        <v>211</v>
      </c>
      <c r="C66" s="104"/>
      <c r="D66" s="104"/>
      <c r="E66" s="104"/>
      <c r="F66" s="104"/>
      <c r="G66" s="104"/>
      <c r="H66" s="104"/>
      <c r="I66" s="104"/>
      <c r="J66" s="104"/>
      <c r="K66" s="104"/>
    </row>
    <row r="67" customFormat="false" ht="19.5" hidden="false" customHeight="true" outlineLevel="0" collapsed="false">
      <c r="B67" s="36" t="s">
        <v>212</v>
      </c>
      <c r="C67" s="36"/>
      <c r="D67" s="36"/>
      <c r="E67" s="36"/>
      <c r="F67" s="37" t="s">
        <v>213</v>
      </c>
      <c r="G67" s="37"/>
      <c r="H67" s="37"/>
      <c r="I67" s="38" t="s">
        <v>108</v>
      </c>
      <c r="J67" s="38"/>
      <c r="K67" s="38"/>
    </row>
    <row r="68" customFormat="false" ht="21.75" hidden="false" customHeight="true" outlineLevel="0" collapsed="false">
      <c r="B68" s="88" t="s">
        <v>214</v>
      </c>
      <c r="C68" s="88"/>
      <c r="D68" s="88"/>
      <c r="E68" s="88"/>
      <c r="F68" s="89" t="s">
        <v>215</v>
      </c>
      <c r="G68" s="89"/>
      <c r="H68" s="89"/>
      <c r="I68" s="90" t="s">
        <v>216</v>
      </c>
      <c r="J68" s="90"/>
      <c r="K68" s="90"/>
    </row>
    <row r="69" customFormat="false" ht="21.75" hidden="false" customHeight="true" outlineLevel="0" collapsed="false">
      <c r="B69" s="91" t="s">
        <v>217</v>
      </c>
      <c r="C69" s="91"/>
      <c r="D69" s="91"/>
      <c r="E69" s="91"/>
      <c r="F69" s="92" t="s">
        <v>218</v>
      </c>
      <c r="G69" s="92"/>
      <c r="H69" s="92"/>
      <c r="I69" s="93" t="s">
        <v>219</v>
      </c>
      <c r="J69" s="93"/>
      <c r="K69" s="93"/>
    </row>
    <row r="70" customFormat="false" ht="21.75" hidden="false" customHeight="true" outlineLevel="0" collapsed="false">
      <c r="B70" s="88" t="s">
        <v>220</v>
      </c>
      <c r="C70" s="88"/>
      <c r="D70" s="88"/>
      <c r="E70" s="88"/>
      <c r="F70" s="89" t="s">
        <v>221</v>
      </c>
      <c r="G70" s="89"/>
      <c r="H70" s="89"/>
      <c r="I70" s="90" t="s">
        <v>222</v>
      </c>
      <c r="J70" s="90"/>
      <c r="K70" s="90"/>
    </row>
    <row r="71" customFormat="false" ht="21.75" hidden="false" customHeight="true" outlineLevel="0" collapsed="false">
      <c r="B71" s="91" t="s">
        <v>223</v>
      </c>
      <c r="C71" s="91"/>
      <c r="D71" s="91"/>
      <c r="E71" s="91"/>
      <c r="F71" s="92" t="s">
        <v>224</v>
      </c>
      <c r="G71" s="92"/>
      <c r="H71" s="92"/>
      <c r="I71" s="93" t="s">
        <v>225</v>
      </c>
      <c r="J71" s="93"/>
      <c r="K71" s="93"/>
    </row>
    <row r="72" customFormat="false" ht="21.75" hidden="false" customHeight="true" outlineLevel="0" collapsed="false">
      <c r="B72" s="88" t="s">
        <v>226</v>
      </c>
      <c r="C72" s="88"/>
      <c r="D72" s="88"/>
      <c r="E72" s="88"/>
      <c r="F72" s="89" t="s">
        <v>227</v>
      </c>
      <c r="G72" s="89"/>
      <c r="H72" s="89"/>
      <c r="I72" s="90" t="s">
        <v>225</v>
      </c>
      <c r="J72" s="90"/>
      <c r="K72" s="90"/>
    </row>
    <row r="73" customFormat="false" ht="21.75" hidden="false" customHeight="true" outlineLevel="0" collapsed="false">
      <c r="B73" s="91" t="s">
        <v>228</v>
      </c>
      <c r="C73" s="91"/>
      <c r="D73" s="91"/>
      <c r="E73" s="91"/>
      <c r="F73" s="92" t="s">
        <v>229</v>
      </c>
      <c r="G73" s="92"/>
      <c r="H73" s="92"/>
      <c r="I73" s="93" t="s">
        <v>225</v>
      </c>
      <c r="J73" s="93"/>
      <c r="K73" s="93"/>
    </row>
    <row r="74" customFormat="false" ht="21.75" hidden="false" customHeight="true" outlineLevel="0" collapsed="false">
      <c r="B74" s="88" t="s">
        <v>230</v>
      </c>
      <c r="C74" s="88"/>
      <c r="D74" s="88"/>
      <c r="E74" s="88"/>
      <c r="F74" s="89" t="s">
        <v>231</v>
      </c>
      <c r="G74" s="89"/>
      <c r="H74" s="89"/>
      <c r="I74" s="90" t="s">
        <v>232</v>
      </c>
      <c r="J74" s="90"/>
      <c r="K74" s="90"/>
    </row>
    <row r="75" customFormat="false" ht="21.75" hidden="false" customHeight="true" outlineLevel="0" collapsed="false">
      <c r="B75" s="91" t="s">
        <v>233</v>
      </c>
      <c r="C75" s="91"/>
      <c r="D75" s="91"/>
      <c r="E75" s="91"/>
      <c r="F75" s="92" t="s">
        <v>234</v>
      </c>
      <c r="G75" s="92"/>
      <c r="H75" s="92"/>
      <c r="I75" s="93" t="s">
        <v>235</v>
      </c>
      <c r="J75" s="93"/>
      <c r="K75" s="93"/>
    </row>
    <row r="76" customFormat="false" ht="21.75" hidden="false" customHeight="true" outlineLevel="0" collapsed="false">
      <c r="B76" s="88" t="s">
        <v>236</v>
      </c>
      <c r="C76" s="88"/>
      <c r="D76" s="88"/>
      <c r="E76" s="88"/>
      <c r="F76" s="89" t="s">
        <v>237</v>
      </c>
      <c r="G76" s="89"/>
      <c r="H76" s="89"/>
      <c r="I76" s="90" t="s">
        <v>238</v>
      </c>
      <c r="J76" s="90"/>
      <c r="K76" s="90"/>
    </row>
    <row r="77" customFormat="false" ht="21.75" hidden="false" customHeight="true" outlineLevel="0" collapsed="false">
      <c r="B77" s="91" t="s">
        <v>239</v>
      </c>
      <c r="C77" s="91"/>
      <c r="D77" s="91"/>
      <c r="E77" s="91"/>
      <c r="F77" s="92" t="s">
        <v>240</v>
      </c>
      <c r="G77" s="92"/>
      <c r="H77" s="92"/>
      <c r="I77" s="93" t="s">
        <v>241</v>
      </c>
      <c r="J77" s="93"/>
      <c r="K77" s="93"/>
    </row>
    <row r="78" customFormat="false" ht="21.75" hidden="false" customHeight="true" outlineLevel="0" collapsed="false">
      <c r="B78" s="88" t="s">
        <v>242</v>
      </c>
      <c r="C78" s="88"/>
      <c r="D78" s="88"/>
      <c r="E78" s="88"/>
      <c r="F78" s="89" t="s">
        <v>243</v>
      </c>
      <c r="G78" s="89"/>
      <c r="H78" s="89"/>
      <c r="I78" s="90" t="s">
        <v>244</v>
      </c>
      <c r="J78" s="90"/>
      <c r="K78" s="90"/>
    </row>
    <row r="79" customFormat="false" ht="21.75" hidden="false" customHeight="true" outlineLevel="0" collapsed="false">
      <c r="B79" s="91" t="s">
        <v>245</v>
      </c>
      <c r="C79" s="91"/>
      <c r="D79" s="91"/>
      <c r="E79" s="91"/>
      <c r="F79" s="92" t="s">
        <v>246</v>
      </c>
      <c r="G79" s="92"/>
      <c r="H79" s="92"/>
      <c r="I79" s="93" t="s">
        <v>247</v>
      </c>
      <c r="J79" s="93"/>
      <c r="K79" s="93"/>
    </row>
    <row r="80" customFormat="false" ht="21.75" hidden="false" customHeight="true" outlineLevel="0" collapsed="false">
      <c r="B80" s="97" t="s">
        <v>248</v>
      </c>
      <c r="C80" s="97"/>
      <c r="D80" s="97"/>
      <c r="E80" s="97"/>
      <c r="F80" s="98" t="s">
        <v>249</v>
      </c>
      <c r="G80" s="98"/>
      <c r="H80" s="98"/>
      <c r="I80" s="99" t="s">
        <v>250</v>
      </c>
      <c r="J80" s="99"/>
      <c r="K80" s="99"/>
    </row>
    <row r="82" customFormat="false" ht="19.5" hidden="false" customHeight="true" outlineLevel="0" collapsed="false">
      <c r="B82" s="105" t="s">
        <v>251</v>
      </c>
      <c r="C82" s="105"/>
      <c r="D82" s="105"/>
      <c r="E82" s="105"/>
      <c r="F82" s="105"/>
      <c r="G82" s="105"/>
      <c r="H82" s="105"/>
      <c r="I82" s="105"/>
      <c r="J82" s="105"/>
      <c r="K82" s="105"/>
    </row>
    <row r="83" customFormat="false" ht="39.75" hidden="false" customHeight="true" outlineLevel="0" collapsed="false">
      <c r="B83" s="106" t="s">
        <v>252</v>
      </c>
      <c r="C83" s="106"/>
      <c r="D83" s="107" t="s">
        <v>253</v>
      </c>
      <c r="E83" s="107"/>
      <c r="F83" s="107"/>
      <c r="G83" s="107"/>
      <c r="H83" s="107"/>
      <c r="I83" s="107"/>
      <c r="J83" s="107"/>
      <c r="K83" s="107"/>
    </row>
    <row r="84" customFormat="false" ht="39.75" hidden="false" customHeight="true" outlineLevel="0" collapsed="false">
      <c r="B84" s="108" t="s">
        <v>254</v>
      </c>
      <c r="C84" s="108"/>
      <c r="D84" s="93" t="s">
        <v>255</v>
      </c>
      <c r="E84" s="93"/>
      <c r="F84" s="93"/>
      <c r="G84" s="93"/>
      <c r="H84" s="93"/>
      <c r="I84" s="93"/>
      <c r="J84" s="93"/>
      <c r="K84" s="93"/>
    </row>
    <row r="85" customFormat="false" ht="39.75" hidden="false" customHeight="true" outlineLevel="0" collapsed="false">
      <c r="B85" s="109" t="s">
        <v>256</v>
      </c>
      <c r="C85" s="109"/>
      <c r="D85" s="90" t="s">
        <v>257</v>
      </c>
      <c r="E85" s="90"/>
      <c r="F85" s="90"/>
      <c r="G85" s="90"/>
      <c r="H85" s="90"/>
      <c r="I85" s="90"/>
      <c r="J85" s="90"/>
      <c r="K85" s="90"/>
    </row>
    <row r="86" customFormat="false" ht="30" hidden="false" customHeight="true" outlineLevel="0" collapsed="false">
      <c r="B86" s="108" t="s">
        <v>258</v>
      </c>
      <c r="C86" s="108"/>
      <c r="D86" s="93" t="s">
        <v>259</v>
      </c>
      <c r="E86" s="93"/>
      <c r="F86" s="93"/>
      <c r="G86" s="93"/>
      <c r="H86" s="93"/>
      <c r="I86" s="93"/>
      <c r="J86" s="93"/>
      <c r="K86" s="93"/>
    </row>
    <row r="87" customFormat="false" ht="30" hidden="false" customHeight="true" outlineLevel="0" collapsed="false">
      <c r="B87" s="109" t="s">
        <v>260</v>
      </c>
      <c r="C87" s="109"/>
      <c r="D87" s="90" t="s">
        <v>261</v>
      </c>
      <c r="E87" s="90"/>
      <c r="F87" s="90"/>
      <c r="G87" s="90"/>
      <c r="H87" s="90"/>
      <c r="I87" s="90"/>
      <c r="J87" s="90"/>
      <c r="K87" s="90"/>
    </row>
    <row r="88" customFormat="false" ht="30" hidden="false" customHeight="true" outlineLevel="0" collapsed="false">
      <c r="B88" s="108" t="s">
        <v>262</v>
      </c>
      <c r="C88" s="108"/>
      <c r="D88" s="93" t="s">
        <v>263</v>
      </c>
      <c r="E88" s="93"/>
      <c r="F88" s="93"/>
      <c r="G88" s="93"/>
      <c r="H88" s="93"/>
      <c r="I88" s="93"/>
      <c r="J88" s="93"/>
      <c r="K88" s="93"/>
    </row>
    <row r="89" customFormat="false" ht="39.75" hidden="false" customHeight="true" outlineLevel="0" collapsed="false">
      <c r="B89" s="109" t="s">
        <v>264</v>
      </c>
      <c r="C89" s="109"/>
      <c r="D89" s="90" t="s">
        <v>265</v>
      </c>
      <c r="E89" s="90"/>
      <c r="F89" s="90"/>
      <c r="G89" s="90"/>
      <c r="H89" s="90"/>
      <c r="I89" s="90"/>
      <c r="J89" s="90"/>
      <c r="K89" s="90"/>
    </row>
    <row r="90" customFormat="false" ht="30" hidden="false" customHeight="true" outlineLevel="0" collapsed="false">
      <c r="B90" s="108" t="s">
        <v>266</v>
      </c>
      <c r="C90" s="108"/>
      <c r="D90" s="93" t="s">
        <v>267</v>
      </c>
      <c r="E90" s="93"/>
      <c r="F90" s="93"/>
      <c r="G90" s="93"/>
      <c r="H90" s="93"/>
      <c r="I90" s="93"/>
      <c r="J90" s="93"/>
      <c r="K90" s="93"/>
    </row>
    <row r="91" customFormat="false" ht="30" hidden="false" customHeight="true" outlineLevel="0" collapsed="false">
      <c r="B91" s="109" t="s">
        <v>268</v>
      </c>
      <c r="C91" s="109"/>
      <c r="D91" s="90" t="s">
        <v>269</v>
      </c>
      <c r="E91" s="90"/>
      <c r="F91" s="90"/>
      <c r="G91" s="90"/>
      <c r="H91" s="90"/>
      <c r="I91" s="90"/>
      <c r="J91" s="90"/>
      <c r="K91" s="90"/>
    </row>
    <row r="92" customFormat="false" ht="30" hidden="false" customHeight="true" outlineLevel="0" collapsed="false">
      <c r="B92" s="110" t="s">
        <v>270</v>
      </c>
      <c r="C92" s="110"/>
      <c r="D92" s="96" t="s">
        <v>271</v>
      </c>
      <c r="E92" s="96"/>
      <c r="F92" s="96"/>
      <c r="G92" s="96"/>
      <c r="H92" s="96"/>
      <c r="I92" s="96"/>
      <c r="J92" s="96"/>
      <c r="K92" s="96"/>
    </row>
    <row r="94" customFormat="false" ht="19.5" hidden="false" customHeight="true" outlineLevel="0" collapsed="false">
      <c r="B94" s="111" t="s">
        <v>272</v>
      </c>
      <c r="C94" s="111"/>
      <c r="D94" s="111"/>
      <c r="E94" s="111"/>
      <c r="F94" s="111"/>
      <c r="G94" s="111"/>
      <c r="H94" s="111"/>
      <c r="I94" s="111"/>
      <c r="J94" s="111"/>
      <c r="K94" s="111"/>
    </row>
    <row r="95" customFormat="false" ht="15.75" hidden="false" customHeight="true" outlineLevel="0" collapsed="false">
      <c r="B95" s="112" t="s">
        <v>273</v>
      </c>
      <c r="C95" s="112"/>
      <c r="D95" s="112"/>
      <c r="E95" s="112"/>
      <c r="F95" s="112"/>
      <c r="G95" s="112"/>
      <c r="H95" s="112"/>
      <c r="I95" s="112"/>
      <c r="J95" s="112"/>
      <c r="K95" s="112"/>
    </row>
    <row r="96" customFormat="false" ht="15.75" hidden="false" customHeight="true" outlineLevel="0" collapsed="false">
      <c r="B96" s="113" t="s">
        <v>274</v>
      </c>
      <c r="C96" s="113"/>
      <c r="D96" s="113"/>
      <c r="E96" s="113"/>
      <c r="F96" s="113"/>
      <c r="G96" s="113"/>
      <c r="H96" s="113"/>
      <c r="I96" s="113"/>
      <c r="J96" s="113"/>
      <c r="K96" s="113"/>
    </row>
    <row r="97" customFormat="false" ht="15.75" hidden="false" customHeight="true" outlineLevel="0" collapsed="false">
      <c r="B97" s="114" t="s">
        <v>275</v>
      </c>
      <c r="C97" s="114"/>
      <c r="D97" s="114"/>
      <c r="E97" s="114"/>
      <c r="F97" s="114"/>
      <c r="G97" s="114"/>
      <c r="H97" s="114"/>
      <c r="I97" s="114"/>
      <c r="J97" s="114"/>
      <c r="K97" s="114"/>
    </row>
    <row r="98" customFormat="false" ht="15.75" hidden="false" customHeight="true" outlineLevel="0" collapsed="false">
      <c r="B98" s="113" t="s">
        <v>276</v>
      </c>
      <c r="C98" s="113"/>
      <c r="D98" s="113"/>
      <c r="E98" s="113"/>
      <c r="F98" s="113"/>
      <c r="G98" s="113"/>
      <c r="H98" s="113"/>
      <c r="I98" s="113"/>
      <c r="J98" s="113"/>
      <c r="K98" s="113"/>
    </row>
    <row r="99" customFormat="false" ht="15.75" hidden="false" customHeight="true" outlineLevel="0" collapsed="false">
      <c r="B99" s="114" t="s">
        <v>277</v>
      </c>
      <c r="C99" s="114"/>
      <c r="D99" s="114"/>
      <c r="E99" s="114"/>
      <c r="F99" s="114"/>
      <c r="G99" s="114"/>
      <c r="H99" s="114"/>
      <c r="I99" s="114"/>
      <c r="J99" s="114"/>
      <c r="K99" s="114"/>
    </row>
    <row r="100" customFormat="false" ht="15.75" hidden="false" customHeight="true" outlineLevel="0" collapsed="false">
      <c r="B100" s="113" t="s">
        <v>278</v>
      </c>
      <c r="C100" s="113"/>
      <c r="D100" s="113"/>
      <c r="E100" s="113"/>
      <c r="F100" s="113"/>
      <c r="G100" s="113"/>
      <c r="H100" s="113"/>
      <c r="I100" s="113"/>
      <c r="J100" s="113"/>
      <c r="K100" s="113"/>
    </row>
    <row r="101" customFormat="false" ht="15.75" hidden="false" customHeight="true" outlineLevel="0" collapsed="false">
      <c r="B101" s="114" t="s">
        <v>279</v>
      </c>
      <c r="C101" s="114"/>
      <c r="D101" s="114"/>
      <c r="E101" s="114"/>
      <c r="F101" s="114"/>
      <c r="G101" s="114"/>
      <c r="H101" s="114"/>
      <c r="I101" s="114"/>
      <c r="J101" s="114"/>
      <c r="K101" s="114"/>
    </row>
    <row r="102" customFormat="false" ht="15.75" hidden="false" customHeight="true" outlineLevel="0" collapsed="false">
      <c r="B102" s="115" t="s">
        <v>280</v>
      </c>
      <c r="C102" s="115"/>
      <c r="D102" s="115"/>
      <c r="E102" s="115"/>
      <c r="F102" s="115"/>
      <c r="G102" s="115"/>
      <c r="H102" s="115"/>
      <c r="I102" s="115"/>
      <c r="J102" s="115"/>
      <c r="K102" s="115"/>
    </row>
    <row r="103" customFormat="false" ht="16.5" hidden="false" customHeight="true" outlineLevel="0" collapsed="false">
      <c r="B103" s="116" t="s">
        <v>281</v>
      </c>
      <c r="C103" s="116"/>
      <c r="D103" s="116"/>
      <c r="E103" s="116"/>
      <c r="F103" s="116"/>
      <c r="G103" s="116"/>
      <c r="H103" s="116"/>
      <c r="I103" s="116"/>
      <c r="J103" s="116"/>
      <c r="K103" s="116"/>
    </row>
  </sheetData>
  <mergeCells count="214">
    <mergeCell ref="B3:K3"/>
    <mergeCell ref="B4:K4"/>
    <mergeCell ref="B6:K6"/>
    <mergeCell ref="B7:K7"/>
    <mergeCell ref="B8:K8"/>
    <mergeCell ref="B9:K9"/>
    <mergeCell ref="B10:K10"/>
    <mergeCell ref="B12:K12"/>
    <mergeCell ref="B13:E13"/>
    <mergeCell ref="F13:H13"/>
    <mergeCell ref="J13:K13"/>
    <mergeCell ref="B14:E14"/>
    <mergeCell ref="F14:H14"/>
    <mergeCell ref="J14:K14"/>
    <mergeCell ref="B15:E15"/>
    <mergeCell ref="F15:H15"/>
    <mergeCell ref="J15:K15"/>
    <mergeCell ref="B16:E16"/>
    <mergeCell ref="F16:H16"/>
    <mergeCell ref="J16:K16"/>
    <mergeCell ref="B17:E17"/>
    <mergeCell ref="F17:H17"/>
    <mergeCell ref="J17:K17"/>
    <mergeCell ref="B18:E18"/>
    <mergeCell ref="F18:H18"/>
    <mergeCell ref="J18:K18"/>
    <mergeCell ref="B19:E19"/>
    <mergeCell ref="F19:H19"/>
    <mergeCell ref="J19:K19"/>
    <mergeCell ref="B21:K21"/>
    <mergeCell ref="D22:E22"/>
    <mergeCell ref="F22:I22"/>
    <mergeCell ref="J22:K22"/>
    <mergeCell ref="D23:E23"/>
    <mergeCell ref="F23:I23"/>
    <mergeCell ref="J23:K23"/>
    <mergeCell ref="D24:E24"/>
    <mergeCell ref="F24:I24"/>
    <mergeCell ref="J24:K24"/>
    <mergeCell ref="D25:E25"/>
    <mergeCell ref="F25:I25"/>
    <mergeCell ref="J25:K25"/>
    <mergeCell ref="D26:E26"/>
    <mergeCell ref="F26:I26"/>
    <mergeCell ref="J26:K26"/>
    <mergeCell ref="D27:E27"/>
    <mergeCell ref="F27:I27"/>
    <mergeCell ref="J27:K27"/>
    <mergeCell ref="D28:E28"/>
    <mergeCell ref="F28:I28"/>
    <mergeCell ref="J28:K28"/>
    <mergeCell ref="D29:E29"/>
    <mergeCell ref="F29:I29"/>
    <mergeCell ref="J29:K29"/>
    <mergeCell ref="D30:E30"/>
    <mergeCell ref="F30:I30"/>
    <mergeCell ref="J30:K30"/>
    <mergeCell ref="D31:E31"/>
    <mergeCell ref="F31:I31"/>
    <mergeCell ref="J31:K31"/>
    <mergeCell ref="D32:E32"/>
    <mergeCell ref="F32:I32"/>
    <mergeCell ref="J32:K32"/>
    <mergeCell ref="D33:E33"/>
    <mergeCell ref="F33:I33"/>
    <mergeCell ref="J33:K33"/>
    <mergeCell ref="D34:E34"/>
    <mergeCell ref="F34:I34"/>
    <mergeCell ref="J34:K34"/>
    <mergeCell ref="D35:E35"/>
    <mergeCell ref="F35:I35"/>
    <mergeCell ref="J35:K35"/>
    <mergeCell ref="D36:E36"/>
    <mergeCell ref="F36:I36"/>
    <mergeCell ref="J36:K36"/>
    <mergeCell ref="D37:E37"/>
    <mergeCell ref="F37:I37"/>
    <mergeCell ref="J37:K37"/>
    <mergeCell ref="D38:E38"/>
    <mergeCell ref="F38:I38"/>
    <mergeCell ref="J38:K38"/>
    <mergeCell ref="D39:E39"/>
    <mergeCell ref="F39:I39"/>
    <mergeCell ref="J39:K39"/>
    <mergeCell ref="B41:K41"/>
    <mergeCell ref="B42:D42"/>
    <mergeCell ref="E42:K42"/>
    <mergeCell ref="B43:D43"/>
    <mergeCell ref="E43:K43"/>
    <mergeCell ref="B44:D44"/>
    <mergeCell ref="E44:K44"/>
    <mergeCell ref="B45:D45"/>
    <mergeCell ref="E45:K45"/>
    <mergeCell ref="B46:D46"/>
    <mergeCell ref="E46:K46"/>
    <mergeCell ref="B47:D47"/>
    <mergeCell ref="E47:K47"/>
    <mergeCell ref="B48:D48"/>
    <mergeCell ref="E48:K48"/>
    <mergeCell ref="B50:K50"/>
    <mergeCell ref="B51:E51"/>
    <mergeCell ref="F51:I51"/>
    <mergeCell ref="J51:K51"/>
    <mergeCell ref="B52:E52"/>
    <mergeCell ref="F52:I52"/>
    <mergeCell ref="J52:K52"/>
    <mergeCell ref="B53:E53"/>
    <mergeCell ref="F53:I53"/>
    <mergeCell ref="J53:K53"/>
    <mergeCell ref="B54:E54"/>
    <mergeCell ref="F54:I54"/>
    <mergeCell ref="J54:K54"/>
    <mergeCell ref="B55:E55"/>
    <mergeCell ref="F55:I55"/>
    <mergeCell ref="J55:K55"/>
    <mergeCell ref="B56:E56"/>
    <mergeCell ref="F56:I56"/>
    <mergeCell ref="J56:K56"/>
    <mergeCell ref="B57:E57"/>
    <mergeCell ref="F57:I57"/>
    <mergeCell ref="J57:K57"/>
    <mergeCell ref="B58:E58"/>
    <mergeCell ref="F58:I58"/>
    <mergeCell ref="J58:K58"/>
    <mergeCell ref="B59:E59"/>
    <mergeCell ref="F59:I59"/>
    <mergeCell ref="J59:K59"/>
    <mergeCell ref="B60:E60"/>
    <mergeCell ref="F60:I60"/>
    <mergeCell ref="J60:K60"/>
    <mergeCell ref="B61:E61"/>
    <mergeCell ref="F61:I61"/>
    <mergeCell ref="J61:K61"/>
    <mergeCell ref="B62:E62"/>
    <mergeCell ref="F62:I62"/>
    <mergeCell ref="J62:K62"/>
    <mergeCell ref="B63:E63"/>
    <mergeCell ref="F63:I63"/>
    <mergeCell ref="J63:K63"/>
    <mergeCell ref="B65:K65"/>
    <mergeCell ref="B66:K66"/>
    <mergeCell ref="B67:E67"/>
    <mergeCell ref="F67:H67"/>
    <mergeCell ref="I67:K67"/>
    <mergeCell ref="B68:E68"/>
    <mergeCell ref="F68:H68"/>
    <mergeCell ref="I68:K68"/>
    <mergeCell ref="B69:E69"/>
    <mergeCell ref="F69:H69"/>
    <mergeCell ref="I69:K69"/>
    <mergeCell ref="B70:E70"/>
    <mergeCell ref="F70:H70"/>
    <mergeCell ref="I70:K70"/>
    <mergeCell ref="B71:E71"/>
    <mergeCell ref="F71:H71"/>
    <mergeCell ref="I71:K71"/>
    <mergeCell ref="B72:E72"/>
    <mergeCell ref="F72:H72"/>
    <mergeCell ref="I72:K72"/>
    <mergeCell ref="B73:E73"/>
    <mergeCell ref="F73:H73"/>
    <mergeCell ref="I73:K73"/>
    <mergeCell ref="B74:E74"/>
    <mergeCell ref="F74:H74"/>
    <mergeCell ref="I74:K74"/>
    <mergeCell ref="B75:E75"/>
    <mergeCell ref="F75:H75"/>
    <mergeCell ref="I75:K75"/>
    <mergeCell ref="B76:E76"/>
    <mergeCell ref="F76:H76"/>
    <mergeCell ref="I76:K76"/>
    <mergeCell ref="B77:E77"/>
    <mergeCell ref="F77:H77"/>
    <mergeCell ref="I77:K77"/>
    <mergeCell ref="B78:E78"/>
    <mergeCell ref="F78:H78"/>
    <mergeCell ref="I78:K78"/>
    <mergeCell ref="B79:E79"/>
    <mergeCell ref="F79:H79"/>
    <mergeCell ref="I79:K79"/>
    <mergeCell ref="B80:E80"/>
    <mergeCell ref="F80:H80"/>
    <mergeCell ref="I80:K80"/>
    <mergeCell ref="B82:K82"/>
    <mergeCell ref="B83:C83"/>
    <mergeCell ref="D83:K83"/>
    <mergeCell ref="B84:C84"/>
    <mergeCell ref="D84:K84"/>
    <mergeCell ref="B85:C85"/>
    <mergeCell ref="D85:K85"/>
    <mergeCell ref="B86:C86"/>
    <mergeCell ref="D86:K86"/>
    <mergeCell ref="B87:C87"/>
    <mergeCell ref="D87:K87"/>
    <mergeCell ref="B88:C88"/>
    <mergeCell ref="D88:K88"/>
    <mergeCell ref="B89:C89"/>
    <mergeCell ref="D89:K89"/>
    <mergeCell ref="B90:C90"/>
    <mergeCell ref="D90:K90"/>
    <mergeCell ref="B91:C91"/>
    <mergeCell ref="D91:K91"/>
    <mergeCell ref="B92:C92"/>
    <mergeCell ref="D92:K92"/>
    <mergeCell ref="B94:K94"/>
    <mergeCell ref="B95:K95"/>
    <mergeCell ref="B96:K96"/>
    <mergeCell ref="B97:K97"/>
    <mergeCell ref="B98:K98"/>
    <mergeCell ref="B99:K99"/>
    <mergeCell ref="B100:K100"/>
    <mergeCell ref="B101:K101"/>
    <mergeCell ref="B102:K102"/>
    <mergeCell ref="B103:K103"/>
  </mergeCells>
  <dataValidations count="1">
    <dataValidation allowBlank="true" errorStyle="stop" operator="between" prompt="A fazer, Pesquisando, Reservado ou Pago." promptTitle="Status da reserva" showDropDown="false" showErrorMessage="false" showInputMessage="false" sqref="J52:J63" type="list">
      <formula1>STATUS_RESERVA</formula1>
      <formula2>0</formula2>
    </dataValidation>
  </dataValidations>
  <hyperlinks>
    <hyperlink ref="B95" r:id="rId1" display="japan-guide.com — roteiros sugeridos pelo Japão  —  https://www.japan-guide.com/e/e2400.html"/>
    <hyperlink ref="B96" r:id="rId2" display="japan-guide.com — Fuji Shibazakura Festival  —  https://www.japan-guide.com/e/e6919.html"/>
    <hyperlink ref="B97" r:id="rId3" display="JNTO (turismo oficial do Japão) — Rota Dourada  —  https://www.japan.travel/en/gc/itineraries/long-plan/"/>
    <hyperlink ref="B98" r:id="rId4" display="Tokyo Disney Resort — compra oficial de ingressos  —  https://www.tokyodisneyresort.jp/en/ticket/purchase.html"/>
    <hyperlink ref="B99" r:id="rId5" display="Rakuten Travel — feriados nacionais e Golden Week  —  https://travel.rakuten.com/contents/usa/en-us/guide/japanese-national-holidays-golden-week/"/>
    <hyperlink ref="B100" r:id="rId6" display="Panrotas — isenção de visto Brasil-Japão prorrogada até 2029  —  https://www.panrotas.com.br/mercado/destinos/2026/07/brasil-e-japao-prorrogam-isencao-de-vistos-para-turistas-ate-2029_230682.html"/>
    <hyperlink ref="B101" r:id="rId7" display="Tokyo Cheapo — bate-volta de Tóquio a Kawaguchiko  —  https://tokyocheapo.com/entertainment/tokyo-to-kawaguchiko-day-trip-guide/"/>
    <hyperlink ref="B102" r:id="rId8" display="Wise — histórico da cotação iene / real  —  https://wise.com/us/currency-converter/jpy-to-brl-rate/history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5DB0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6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9"/>
    <col collapsed="false" customWidth="true" hidden="false" outlineLevel="0" max="8" min="8" style="0" width="17"/>
    <col collapsed="false" customWidth="true" hidden="false" outlineLevel="0" max="9" min="9" style="0" width="12"/>
  </cols>
  <sheetData>
    <row r="1" customFormat="false" ht="6" hidden="false" customHeight="true" outlineLevel="0" collapsed="false"/>
    <row r="2" customFormat="false" ht="6.7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36" hidden="false" customHeight="true" outlineLevel="0" collapsed="false">
      <c r="A3" s="2" t="s">
        <v>282</v>
      </c>
      <c r="B3" s="2"/>
      <c r="C3" s="2"/>
      <c r="D3" s="2"/>
      <c r="E3" s="2"/>
      <c r="F3" s="2"/>
      <c r="G3" s="2"/>
      <c r="H3" s="2"/>
      <c r="I3" s="2"/>
    </row>
    <row r="4" customFormat="false" ht="19.5" hidden="false" customHeight="true" outlineLevel="0" collapsed="false">
      <c r="A4" s="3" t="s">
        <v>283</v>
      </c>
      <c r="B4" s="3"/>
      <c r="C4" s="3"/>
      <c r="D4" s="3"/>
      <c r="E4" s="3"/>
      <c r="F4" s="3"/>
      <c r="G4" s="3"/>
      <c r="H4" s="3"/>
      <c r="I4" s="3"/>
    </row>
    <row r="5" customFormat="false" ht="12" hidden="false" customHeight="true" outlineLevel="0" collapsed="false"/>
    <row r="6" customFormat="false" ht="27.75" hidden="false" customHeight="true" outlineLevel="0" collapsed="false">
      <c r="A6" s="36" t="s">
        <v>55</v>
      </c>
      <c r="B6" s="37" t="s">
        <v>284</v>
      </c>
      <c r="C6" s="37" t="s">
        <v>285</v>
      </c>
      <c r="D6" s="37" t="str">
        <f aca="false">Listas!$B$11</f>
        <v>Alimentação</v>
      </c>
      <c r="E6" s="37" t="str">
        <f aca="false">Listas!$B$10</f>
        <v>Transporte local (metrô/ônibus/táxi)</v>
      </c>
      <c r="F6" s="37" t="str">
        <f aca="false">Listas!$B$12</f>
        <v>Passeios e Ingressos</v>
      </c>
      <c r="G6" s="37" t="str">
        <f aca="false">Listas!$B$14</f>
        <v>Compras e Souvenirs</v>
      </c>
      <c r="H6" s="37" t="s">
        <v>286</v>
      </c>
      <c r="I6" s="38" t="s">
        <v>38</v>
      </c>
    </row>
    <row r="7" customFormat="false" ht="18" hidden="false" customHeight="true" outlineLevel="0" collapsed="false">
      <c r="A7" s="117" t="n">
        <f aca="false">IF(Painel!$C$8="","",Painel!$C$8)</f>
        <v>46507</v>
      </c>
      <c r="B7" s="118" t="n">
        <f aca="false">IF($A7="","",SUMIFS(Gastos!$J$7:$J$400,Gastos!$A$7:$A$400,$A7))</f>
        <v>0</v>
      </c>
      <c r="C7" s="119" t="n">
        <f aca="false">IF($A7="","",SUM($B$7:$B7))</f>
        <v>0</v>
      </c>
      <c r="D7" s="119" t="n">
        <f aca="false">IF($A7="","",SUMIFS(Gastos!$J$7:$J$400,Gastos!$A$7:$A$400,$A7,Gastos!$B$7:$B$400,D$6))</f>
        <v>0</v>
      </c>
      <c r="E7" s="119" t="n">
        <f aca="false">IF($A7="","",SUMIFS(Gastos!$J$7:$J$400,Gastos!$A$7:$A$400,$A7,Gastos!$B$7:$B$400,E$6))</f>
        <v>0</v>
      </c>
      <c r="F7" s="119" t="n">
        <f aca="false">IF($A7="","",SUMIFS(Gastos!$J$7:$J$400,Gastos!$A$7:$A$400,$A7,Gastos!$B$7:$B$400,F$6))</f>
        <v>0</v>
      </c>
      <c r="G7" s="119" t="n">
        <f aca="false">IF($A7="","",SUMIFS(Gastos!$J$7:$J$400,Gastos!$A$7:$A$400,$A7,Gastos!$B$7:$B$400,G$6))</f>
        <v>0</v>
      </c>
      <c r="H7" s="119" t="n">
        <f aca="false">IF($A7="","",$B7-SUM($D7:$G7))</f>
        <v>0</v>
      </c>
      <c r="I7" s="120" t="n">
        <f aca="false">IF($A7="","",COUNTIFS(Gastos!$A$7:$A$400,$A7))</f>
        <v>0</v>
      </c>
    </row>
    <row r="8" customFormat="false" ht="18" hidden="false" customHeight="true" outlineLevel="0" collapsed="false">
      <c r="A8" s="121" t="n">
        <f aca="false">IF($A7="","",IF($A7+1&gt;Painel!$C$9,"",$A7+1))</f>
        <v>46508</v>
      </c>
      <c r="B8" s="122" t="n">
        <f aca="false">IF($A8="","",SUMIFS(Gastos!$J$7:$J$400,Gastos!$A$7:$A$400,$A8))</f>
        <v>104</v>
      </c>
      <c r="C8" s="123" t="n">
        <f aca="false">IF($A8="","",SUM($B$7:$B8))</f>
        <v>104</v>
      </c>
      <c r="D8" s="123" t="n">
        <f aca="false">IF($A8="","",SUMIFS(Gastos!$J$7:$J$400,Gastos!$A$7:$A$400,$A8,Gastos!$B$7:$B$400,D$6))</f>
        <v>104</v>
      </c>
      <c r="E8" s="123" t="n">
        <f aca="false">IF($A8="","",SUMIFS(Gastos!$J$7:$J$400,Gastos!$A$7:$A$400,$A8,Gastos!$B$7:$B$400,E$6))</f>
        <v>0</v>
      </c>
      <c r="F8" s="123" t="n">
        <f aca="false">IF($A8="","",SUMIFS(Gastos!$J$7:$J$400,Gastos!$A$7:$A$400,$A8,Gastos!$B$7:$B$400,F$6))</f>
        <v>0</v>
      </c>
      <c r="G8" s="123" t="n">
        <f aca="false">IF($A8="","",SUMIFS(Gastos!$J$7:$J$400,Gastos!$A$7:$A$400,$A8,Gastos!$B$7:$B$400,G$6))</f>
        <v>0</v>
      </c>
      <c r="H8" s="123" t="n">
        <f aca="false">IF($A8="","",$B8-SUM($D8:$G8))</f>
        <v>0</v>
      </c>
      <c r="I8" s="124" t="n">
        <f aca="false">IF($A8="","",COUNTIFS(Gastos!$A$7:$A$400,$A8))</f>
        <v>1</v>
      </c>
    </row>
    <row r="9" customFormat="false" ht="18" hidden="false" customHeight="true" outlineLevel="0" collapsed="false">
      <c r="A9" s="117" t="n">
        <f aca="false">IF($A8="","",IF($A8+1&gt;Painel!$C$9,"",$A8+1))</f>
        <v>46509</v>
      </c>
      <c r="B9" s="118" t="n">
        <f aca="false">IF($A9="","",SUMIFS(Gastos!$J$7:$J$400,Gastos!$A$7:$A$400,$A9))</f>
        <v>0</v>
      </c>
      <c r="C9" s="119" t="n">
        <f aca="false">IF($A9="","",SUM($B$7:$B9))</f>
        <v>104</v>
      </c>
      <c r="D9" s="119" t="n">
        <f aca="false">IF($A9="","",SUMIFS(Gastos!$J$7:$J$400,Gastos!$A$7:$A$400,$A9,Gastos!$B$7:$B$400,D$6))</f>
        <v>0</v>
      </c>
      <c r="E9" s="119" t="n">
        <f aca="false">IF($A9="","",SUMIFS(Gastos!$J$7:$J$400,Gastos!$A$7:$A$400,$A9,Gastos!$B$7:$B$400,E$6))</f>
        <v>0</v>
      </c>
      <c r="F9" s="119" t="n">
        <f aca="false">IF($A9="","",SUMIFS(Gastos!$J$7:$J$400,Gastos!$A$7:$A$400,$A9,Gastos!$B$7:$B$400,F$6))</f>
        <v>0</v>
      </c>
      <c r="G9" s="119" t="n">
        <f aca="false">IF($A9="","",SUMIFS(Gastos!$J$7:$J$400,Gastos!$A$7:$A$400,$A9,Gastos!$B$7:$B$400,G$6))</f>
        <v>0</v>
      </c>
      <c r="H9" s="119" t="n">
        <f aca="false">IF($A9="","",$B9-SUM($D9:$G9))</f>
        <v>0</v>
      </c>
      <c r="I9" s="120" t="n">
        <f aca="false">IF($A9="","",COUNTIFS(Gastos!$A$7:$A$400,$A9))</f>
        <v>0</v>
      </c>
    </row>
    <row r="10" customFormat="false" ht="18" hidden="false" customHeight="true" outlineLevel="0" collapsed="false">
      <c r="A10" s="121" t="n">
        <f aca="false">IF($A9="","",IF($A9+1&gt;Painel!$C$9,"",$A9+1))</f>
        <v>46510</v>
      </c>
      <c r="B10" s="122" t="n">
        <f aca="false">IF($A10="","",SUMIFS(Gastos!$J$7:$J$400,Gastos!$A$7:$A$400,$A10))</f>
        <v>0</v>
      </c>
      <c r="C10" s="123" t="n">
        <f aca="false">IF($A10="","",SUM($B$7:$B10))</f>
        <v>104</v>
      </c>
      <c r="D10" s="123" t="n">
        <f aca="false">IF($A10="","",SUMIFS(Gastos!$J$7:$J$400,Gastos!$A$7:$A$400,$A10,Gastos!$B$7:$B$400,D$6))</f>
        <v>0</v>
      </c>
      <c r="E10" s="123" t="n">
        <f aca="false">IF($A10="","",SUMIFS(Gastos!$J$7:$J$400,Gastos!$A$7:$A$400,$A10,Gastos!$B$7:$B$400,E$6))</f>
        <v>0</v>
      </c>
      <c r="F10" s="123" t="n">
        <f aca="false">IF($A10="","",SUMIFS(Gastos!$J$7:$J$400,Gastos!$A$7:$A$400,$A10,Gastos!$B$7:$B$400,F$6))</f>
        <v>0</v>
      </c>
      <c r="G10" s="123" t="n">
        <f aca="false">IF($A10="","",SUMIFS(Gastos!$J$7:$J$400,Gastos!$A$7:$A$400,$A10,Gastos!$B$7:$B$400,G$6))</f>
        <v>0</v>
      </c>
      <c r="H10" s="123" t="n">
        <f aca="false">IF($A10="","",$B10-SUM($D10:$G10))</f>
        <v>0</v>
      </c>
      <c r="I10" s="124" t="n">
        <f aca="false">IF($A10="","",COUNTIFS(Gastos!$A$7:$A$400,$A10))</f>
        <v>0</v>
      </c>
    </row>
    <row r="11" customFormat="false" ht="18" hidden="false" customHeight="true" outlineLevel="0" collapsed="false">
      <c r="A11" s="117" t="n">
        <f aca="false">IF($A10="","",IF($A10+1&gt;Painel!$C$9,"",$A10+1))</f>
        <v>46511</v>
      </c>
      <c r="B11" s="118" t="n">
        <f aca="false">IF($A11="","",SUMIFS(Gastos!$J$7:$J$400,Gastos!$A$7:$A$400,$A11))</f>
        <v>0</v>
      </c>
      <c r="C11" s="119" t="n">
        <f aca="false">IF($A11="","",SUM($B$7:$B11))</f>
        <v>104</v>
      </c>
      <c r="D11" s="119" t="n">
        <f aca="false">IF($A11="","",SUMIFS(Gastos!$J$7:$J$400,Gastos!$A$7:$A$400,$A11,Gastos!$B$7:$B$400,D$6))</f>
        <v>0</v>
      </c>
      <c r="E11" s="119" t="n">
        <f aca="false">IF($A11="","",SUMIFS(Gastos!$J$7:$J$400,Gastos!$A$7:$A$400,$A11,Gastos!$B$7:$B$400,E$6))</f>
        <v>0</v>
      </c>
      <c r="F11" s="119" t="n">
        <f aca="false">IF($A11="","",SUMIFS(Gastos!$J$7:$J$400,Gastos!$A$7:$A$400,$A11,Gastos!$B$7:$B$400,F$6))</f>
        <v>0</v>
      </c>
      <c r="G11" s="119" t="n">
        <f aca="false">IF($A11="","",SUMIFS(Gastos!$J$7:$J$400,Gastos!$A$7:$A$400,$A11,Gastos!$B$7:$B$400,G$6))</f>
        <v>0</v>
      </c>
      <c r="H11" s="119" t="n">
        <f aca="false">IF($A11="","",$B11-SUM($D11:$G11))</f>
        <v>0</v>
      </c>
      <c r="I11" s="120" t="n">
        <f aca="false">IF($A11="","",COUNTIFS(Gastos!$A$7:$A$400,$A11))</f>
        <v>0</v>
      </c>
    </row>
    <row r="12" customFormat="false" ht="18" hidden="false" customHeight="true" outlineLevel="0" collapsed="false">
      <c r="A12" s="121" t="n">
        <f aca="false">IF($A11="","",IF($A11+1&gt;Painel!$C$9,"",$A11+1))</f>
        <v>46512</v>
      </c>
      <c r="B12" s="122" t="n">
        <f aca="false">IF($A12="","",SUMIFS(Gastos!$J$7:$J$400,Gastos!$A$7:$A$400,$A12))</f>
        <v>0</v>
      </c>
      <c r="C12" s="123" t="n">
        <f aca="false">IF($A12="","",SUM($B$7:$B12))</f>
        <v>104</v>
      </c>
      <c r="D12" s="123" t="n">
        <f aca="false">IF($A12="","",SUMIFS(Gastos!$J$7:$J$400,Gastos!$A$7:$A$400,$A12,Gastos!$B$7:$B$400,D$6))</f>
        <v>0</v>
      </c>
      <c r="E12" s="123" t="n">
        <f aca="false">IF($A12="","",SUMIFS(Gastos!$J$7:$J$400,Gastos!$A$7:$A$400,$A12,Gastos!$B$7:$B$400,E$6))</f>
        <v>0</v>
      </c>
      <c r="F12" s="123" t="n">
        <f aca="false">IF($A12="","",SUMIFS(Gastos!$J$7:$J$400,Gastos!$A$7:$A$400,$A12,Gastos!$B$7:$B$400,F$6))</f>
        <v>0</v>
      </c>
      <c r="G12" s="123" t="n">
        <f aca="false">IF($A12="","",SUMIFS(Gastos!$J$7:$J$400,Gastos!$A$7:$A$400,$A12,Gastos!$B$7:$B$400,G$6))</f>
        <v>0</v>
      </c>
      <c r="H12" s="123" t="n">
        <f aca="false">IF($A12="","",$B12-SUM($D12:$G12))</f>
        <v>0</v>
      </c>
      <c r="I12" s="124" t="n">
        <f aca="false">IF($A12="","",COUNTIFS(Gastos!$A$7:$A$400,$A12))</f>
        <v>0</v>
      </c>
    </row>
    <row r="13" customFormat="false" ht="18" hidden="false" customHeight="true" outlineLevel="0" collapsed="false">
      <c r="A13" s="117" t="n">
        <f aca="false">IF($A12="","",IF($A12+1&gt;Painel!$C$9,"",$A12+1))</f>
        <v>46513</v>
      </c>
      <c r="B13" s="118" t="n">
        <f aca="false">IF($A13="","",SUMIFS(Gastos!$J$7:$J$400,Gastos!$A$7:$A$400,$A13))</f>
        <v>0</v>
      </c>
      <c r="C13" s="119" t="n">
        <f aca="false">IF($A13="","",SUM($B$7:$B13))</f>
        <v>104</v>
      </c>
      <c r="D13" s="119" t="n">
        <f aca="false">IF($A13="","",SUMIFS(Gastos!$J$7:$J$400,Gastos!$A$7:$A$400,$A13,Gastos!$B$7:$B$400,D$6))</f>
        <v>0</v>
      </c>
      <c r="E13" s="119" t="n">
        <f aca="false">IF($A13="","",SUMIFS(Gastos!$J$7:$J$400,Gastos!$A$7:$A$400,$A13,Gastos!$B$7:$B$400,E$6))</f>
        <v>0</v>
      </c>
      <c r="F13" s="119" t="n">
        <f aca="false">IF($A13="","",SUMIFS(Gastos!$J$7:$J$400,Gastos!$A$7:$A$400,$A13,Gastos!$B$7:$B$400,F$6))</f>
        <v>0</v>
      </c>
      <c r="G13" s="119" t="n">
        <f aca="false">IF($A13="","",SUMIFS(Gastos!$J$7:$J$400,Gastos!$A$7:$A$400,$A13,Gastos!$B$7:$B$400,G$6))</f>
        <v>0</v>
      </c>
      <c r="H13" s="119" t="n">
        <f aca="false">IF($A13="","",$B13-SUM($D13:$G13))</f>
        <v>0</v>
      </c>
      <c r="I13" s="120" t="n">
        <f aca="false">IF($A13="","",COUNTIFS(Gastos!$A$7:$A$400,$A13))</f>
        <v>0</v>
      </c>
    </row>
    <row r="14" customFormat="false" ht="18" hidden="false" customHeight="true" outlineLevel="0" collapsed="false">
      <c r="A14" s="121" t="n">
        <f aca="false">IF($A13="","",IF($A13+1&gt;Painel!$C$9,"",$A13+1))</f>
        <v>46514</v>
      </c>
      <c r="B14" s="122" t="n">
        <f aca="false">IF($A14="","",SUMIFS(Gastos!$J$7:$J$400,Gastos!$A$7:$A$400,$A14))</f>
        <v>0</v>
      </c>
      <c r="C14" s="123" t="n">
        <f aca="false">IF($A14="","",SUM($B$7:$B14))</f>
        <v>104</v>
      </c>
      <c r="D14" s="123" t="n">
        <f aca="false">IF($A14="","",SUMIFS(Gastos!$J$7:$J$400,Gastos!$A$7:$A$400,$A14,Gastos!$B$7:$B$400,D$6))</f>
        <v>0</v>
      </c>
      <c r="E14" s="123" t="n">
        <f aca="false">IF($A14="","",SUMIFS(Gastos!$J$7:$J$400,Gastos!$A$7:$A$400,$A14,Gastos!$B$7:$B$400,E$6))</f>
        <v>0</v>
      </c>
      <c r="F14" s="123" t="n">
        <f aca="false">IF($A14="","",SUMIFS(Gastos!$J$7:$J$400,Gastos!$A$7:$A$400,$A14,Gastos!$B$7:$B$400,F$6))</f>
        <v>0</v>
      </c>
      <c r="G14" s="123" t="n">
        <f aca="false">IF($A14="","",SUMIFS(Gastos!$J$7:$J$400,Gastos!$A$7:$A$400,$A14,Gastos!$B$7:$B$400,G$6))</f>
        <v>0</v>
      </c>
      <c r="H14" s="123" t="n">
        <f aca="false">IF($A14="","",$B14-SUM($D14:$G14))</f>
        <v>0</v>
      </c>
      <c r="I14" s="124" t="n">
        <f aca="false">IF($A14="","",COUNTIFS(Gastos!$A$7:$A$400,$A14))</f>
        <v>0</v>
      </c>
    </row>
    <row r="15" customFormat="false" ht="18" hidden="false" customHeight="true" outlineLevel="0" collapsed="false">
      <c r="A15" s="117" t="n">
        <f aca="false">IF($A14="","",IF($A14+1&gt;Painel!$C$9,"",$A14+1))</f>
        <v>46515</v>
      </c>
      <c r="B15" s="118" t="n">
        <f aca="false">IF($A15="","",SUMIFS(Gastos!$J$7:$J$400,Gastos!$A$7:$A$400,$A15))</f>
        <v>0</v>
      </c>
      <c r="C15" s="119" t="n">
        <f aca="false">IF($A15="","",SUM($B$7:$B15))</f>
        <v>104</v>
      </c>
      <c r="D15" s="119" t="n">
        <f aca="false">IF($A15="","",SUMIFS(Gastos!$J$7:$J$400,Gastos!$A$7:$A$400,$A15,Gastos!$B$7:$B$400,D$6))</f>
        <v>0</v>
      </c>
      <c r="E15" s="119" t="n">
        <f aca="false">IF($A15="","",SUMIFS(Gastos!$J$7:$J$400,Gastos!$A$7:$A$400,$A15,Gastos!$B$7:$B$400,E$6))</f>
        <v>0</v>
      </c>
      <c r="F15" s="119" t="n">
        <f aca="false">IF($A15="","",SUMIFS(Gastos!$J$7:$J$400,Gastos!$A$7:$A$400,$A15,Gastos!$B$7:$B$400,F$6))</f>
        <v>0</v>
      </c>
      <c r="G15" s="119" t="n">
        <f aca="false">IF($A15="","",SUMIFS(Gastos!$J$7:$J$400,Gastos!$A$7:$A$400,$A15,Gastos!$B$7:$B$400,G$6))</f>
        <v>0</v>
      </c>
      <c r="H15" s="119" t="n">
        <f aca="false">IF($A15="","",$B15-SUM($D15:$G15))</f>
        <v>0</v>
      </c>
      <c r="I15" s="120" t="n">
        <f aca="false">IF($A15="","",COUNTIFS(Gastos!$A$7:$A$400,$A15))</f>
        <v>0</v>
      </c>
    </row>
    <row r="16" customFormat="false" ht="18" hidden="false" customHeight="true" outlineLevel="0" collapsed="false">
      <c r="A16" s="121" t="n">
        <f aca="false">IF($A15="","",IF($A15+1&gt;Painel!$C$9,"",$A15+1))</f>
        <v>46516</v>
      </c>
      <c r="B16" s="122" t="n">
        <f aca="false">IF($A16="","",SUMIFS(Gastos!$J$7:$J$400,Gastos!$A$7:$A$400,$A16))</f>
        <v>0</v>
      </c>
      <c r="C16" s="123" t="n">
        <f aca="false">IF($A16="","",SUM($B$7:$B16))</f>
        <v>104</v>
      </c>
      <c r="D16" s="123" t="n">
        <f aca="false">IF($A16="","",SUMIFS(Gastos!$J$7:$J$400,Gastos!$A$7:$A$400,$A16,Gastos!$B$7:$B$400,D$6))</f>
        <v>0</v>
      </c>
      <c r="E16" s="123" t="n">
        <f aca="false">IF($A16="","",SUMIFS(Gastos!$J$7:$J$400,Gastos!$A$7:$A$400,$A16,Gastos!$B$7:$B$400,E$6))</f>
        <v>0</v>
      </c>
      <c r="F16" s="123" t="n">
        <f aca="false">IF($A16="","",SUMIFS(Gastos!$J$7:$J$400,Gastos!$A$7:$A$400,$A16,Gastos!$B$7:$B$400,F$6))</f>
        <v>0</v>
      </c>
      <c r="G16" s="123" t="n">
        <f aca="false">IF($A16="","",SUMIFS(Gastos!$J$7:$J$400,Gastos!$A$7:$A$400,$A16,Gastos!$B$7:$B$400,G$6))</f>
        <v>0</v>
      </c>
      <c r="H16" s="123" t="n">
        <f aca="false">IF($A16="","",$B16-SUM($D16:$G16))</f>
        <v>0</v>
      </c>
      <c r="I16" s="124" t="n">
        <f aca="false">IF($A16="","",COUNTIFS(Gastos!$A$7:$A$400,$A16))</f>
        <v>0</v>
      </c>
    </row>
    <row r="17" customFormat="false" ht="18" hidden="false" customHeight="true" outlineLevel="0" collapsed="false">
      <c r="A17" s="117" t="n">
        <f aca="false">IF($A16="","",IF($A16+1&gt;Painel!$C$9,"",$A16+1))</f>
        <v>46517</v>
      </c>
      <c r="B17" s="118" t="n">
        <f aca="false">IF($A17="","",SUMIFS(Gastos!$J$7:$J$400,Gastos!$A$7:$A$400,$A17))</f>
        <v>0</v>
      </c>
      <c r="C17" s="119" t="n">
        <f aca="false">IF($A17="","",SUM($B$7:$B17))</f>
        <v>104</v>
      </c>
      <c r="D17" s="119" t="n">
        <f aca="false">IF($A17="","",SUMIFS(Gastos!$J$7:$J$400,Gastos!$A$7:$A$400,$A17,Gastos!$B$7:$B$400,D$6))</f>
        <v>0</v>
      </c>
      <c r="E17" s="119" t="n">
        <f aca="false">IF($A17="","",SUMIFS(Gastos!$J$7:$J$400,Gastos!$A$7:$A$400,$A17,Gastos!$B$7:$B$400,E$6))</f>
        <v>0</v>
      </c>
      <c r="F17" s="119" t="n">
        <f aca="false">IF($A17="","",SUMIFS(Gastos!$J$7:$J$400,Gastos!$A$7:$A$400,$A17,Gastos!$B$7:$B$400,F$6))</f>
        <v>0</v>
      </c>
      <c r="G17" s="119" t="n">
        <f aca="false">IF($A17="","",SUMIFS(Gastos!$J$7:$J$400,Gastos!$A$7:$A$400,$A17,Gastos!$B$7:$B$400,G$6))</f>
        <v>0</v>
      </c>
      <c r="H17" s="119" t="n">
        <f aca="false">IF($A17="","",$B17-SUM($D17:$G17))</f>
        <v>0</v>
      </c>
      <c r="I17" s="120" t="n">
        <f aca="false">IF($A17="","",COUNTIFS(Gastos!$A$7:$A$400,$A17))</f>
        <v>0</v>
      </c>
    </row>
    <row r="18" customFormat="false" ht="18" hidden="false" customHeight="true" outlineLevel="0" collapsed="false">
      <c r="A18" s="121" t="n">
        <f aca="false">IF($A17="","",IF($A17+1&gt;Painel!$C$9,"",$A17+1))</f>
        <v>46518</v>
      </c>
      <c r="B18" s="122" t="n">
        <f aca="false">IF($A18="","",SUMIFS(Gastos!$J$7:$J$400,Gastos!$A$7:$A$400,$A18))</f>
        <v>0</v>
      </c>
      <c r="C18" s="123" t="n">
        <f aca="false">IF($A18="","",SUM($B$7:$B18))</f>
        <v>104</v>
      </c>
      <c r="D18" s="123" t="n">
        <f aca="false">IF($A18="","",SUMIFS(Gastos!$J$7:$J$400,Gastos!$A$7:$A$400,$A18,Gastos!$B$7:$B$400,D$6))</f>
        <v>0</v>
      </c>
      <c r="E18" s="123" t="n">
        <f aca="false">IF($A18="","",SUMIFS(Gastos!$J$7:$J$400,Gastos!$A$7:$A$400,$A18,Gastos!$B$7:$B$400,E$6))</f>
        <v>0</v>
      </c>
      <c r="F18" s="123" t="n">
        <f aca="false">IF($A18="","",SUMIFS(Gastos!$J$7:$J$400,Gastos!$A$7:$A$400,$A18,Gastos!$B$7:$B$400,F$6))</f>
        <v>0</v>
      </c>
      <c r="G18" s="123" t="n">
        <f aca="false">IF($A18="","",SUMIFS(Gastos!$J$7:$J$400,Gastos!$A$7:$A$400,$A18,Gastos!$B$7:$B$400,G$6))</f>
        <v>0</v>
      </c>
      <c r="H18" s="123" t="n">
        <f aca="false">IF($A18="","",$B18-SUM($D18:$G18))</f>
        <v>0</v>
      </c>
      <c r="I18" s="124" t="n">
        <f aca="false">IF($A18="","",COUNTIFS(Gastos!$A$7:$A$400,$A18))</f>
        <v>0</v>
      </c>
    </row>
    <row r="19" customFormat="false" ht="18" hidden="false" customHeight="true" outlineLevel="0" collapsed="false">
      <c r="A19" s="117" t="n">
        <f aca="false">IF($A18="","",IF($A18+1&gt;Painel!$C$9,"",$A18+1))</f>
        <v>46519</v>
      </c>
      <c r="B19" s="118" t="n">
        <f aca="false">IF($A19="","",SUMIFS(Gastos!$J$7:$J$400,Gastos!$A$7:$A$400,$A19))</f>
        <v>0</v>
      </c>
      <c r="C19" s="119" t="n">
        <f aca="false">IF($A19="","",SUM($B$7:$B19))</f>
        <v>104</v>
      </c>
      <c r="D19" s="119" t="n">
        <f aca="false">IF($A19="","",SUMIFS(Gastos!$J$7:$J$400,Gastos!$A$7:$A$400,$A19,Gastos!$B$7:$B$400,D$6))</f>
        <v>0</v>
      </c>
      <c r="E19" s="119" t="n">
        <f aca="false">IF($A19="","",SUMIFS(Gastos!$J$7:$J$400,Gastos!$A$7:$A$400,$A19,Gastos!$B$7:$B$400,E$6))</f>
        <v>0</v>
      </c>
      <c r="F19" s="119" t="n">
        <f aca="false">IF($A19="","",SUMIFS(Gastos!$J$7:$J$400,Gastos!$A$7:$A$400,$A19,Gastos!$B$7:$B$400,F$6))</f>
        <v>0</v>
      </c>
      <c r="G19" s="119" t="n">
        <f aca="false">IF($A19="","",SUMIFS(Gastos!$J$7:$J$400,Gastos!$A$7:$A$400,$A19,Gastos!$B$7:$B$400,G$6))</f>
        <v>0</v>
      </c>
      <c r="H19" s="119" t="n">
        <f aca="false">IF($A19="","",$B19-SUM($D19:$G19))</f>
        <v>0</v>
      </c>
      <c r="I19" s="120" t="n">
        <f aca="false">IF($A19="","",COUNTIFS(Gastos!$A$7:$A$400,$A19))</f>
        <v>0</v>
      </c>
    </row>
    <row r="20" customFormat="false" ht="18" hidden="false" customHeight="true" outlineLevel="0" collapsed="false">
      <c r="A20" s="121" t="n">
        <f aca="false">IF($A19="","",IF($A19+1&gt;Painel!$C$9,"",$A19+1))</f>
        <v>46520</v>
      </c>
      <c r="B20" s="122" t="n">
        <f aca="false">IF($A20="","",SUMIFS(Gastos!$J$7:$J$400,Gastos!$A$7:$A$400,$A20))</f>
        <v>0</v>
      </c>
      <c r="C20" s="123" t="n">
        <f aca="false">IF($A20="","",SUM($B$7:$B20))</f>
        <v>104</v>
      </c>
      <c r="D20" s="123" t="n">
        <f aca="false">IF($A20="","",SUMIFS(Gastos!$J$7:$J$400,Gastos!$A$7:$A$400,$A20,Gastos!$B$7:$B$400,D$6))</f>
        <v>0</v>
      </c>
      <c r="E20" s="123" t="n">
        <f aca="false">IF($A20="","",SUMIFS(Gastos!$J$7:$J$400,Gastos!$A$7:$A$400,$A20,Gastos!$B$7:$B$400,E$6))</f>
        <v>0</v>
      </c>
      <c r="F20" s="123" t="n">
        <f aca="false">IF($A20="","",SUMIFS(Gastos!$J$7:$J$400,Gastos!$A$7:$A$400,$A20,Gastos!$B$7:$B$400,F$6))</f>
        <v>0</v>
      </c>
      <c r="G20" s="123" t="n">
        <f aca="false">IF($A20="","",SUMIFS(Gastos!$J$7:$J$400,Gastos!$A$7:$A$400,$A20,Gastos!$B$7:$B$400,G$6))</f>
        <v>0</v>
      </c>
      <c r="H20" s="123" t="n">
        <f aca="false">IF($A20="","",$B20-SUM($D20:$G20))</f>
        <v>0</v>
      </c>
      <c r="I20" s="124" t="n">
        <f aca="false">IF($A20="","",COUNTIFS(Gastos!$A$7:$A$400,$A20))</f>
        <v>0</v>
      </c>
    </row>
    <row r="21" customFormat="false" ht="18" hidden="false" customHeight="true" outlineLevel="0" collapsed="false">
      <c r="A21" s="117" t="n">
        <f aca="false">IF($A20="","",IF($A20+1&gt;Painel!$C$9,"",$A20+1))</f>
        <v>46521</v>
      </c>
      <c r="B21" s="118" t="n">
        <f aca="false">IF($A21="","",SUMIFS(Gastos!$J$7:$J$400,Gastos!$A$7:$A$400,$A21))</f>
        <v>0</v>
      </c>
      <c r="C21" s="119" t="n">
        <f aca="false">IF($A21="","",SUM($B$7:$B21))</f>
        <v>104</v>
      </c>
      <c r="D21" s="119" t="n">
        <f aca="false">IF($A21="","",SUMIFS(Gastos!$J$7:$J$400,Gastos!$A$7:$A$400,$A21,Gastos!$B$7:$B$400,D$6))</f>
        <v>0</v>
      </c>
      <c r="E21" s="119" t="n">
        <f aca="false">IF($A21="","",SUMIFS(Gastos!$J$7:$J$400,Gastos!$A$7:$A$400,$A21,Gastos!$B$7:$B$400,E$6))</f>
        <v>0</v>
      </c>
      <c r="F21" s="119" t="n">
        <f aca="false">IF($A21="","",SUMIFS(Gastos!$J$7:$J$400,Gastos!$A$7:$A$400,$A21,Gastos!$B$7:$B$400,F$6))</f>
        <v>0</v>
      </c>
      <c r="G21" s="119" t="n">
        <f aca="false">IF($A21="","",SUMIFS(Gastos!$J$7:$J$400,Gastos!$A$7:$A$400,$A21,Gastos!$B$7:$B$400,G$6))</f>
        <v>0</v>
      </c>
      <c r="H21" s="119" t="n">
        <f aca="false">IF($A21="","",$B21-SUM($D21:$G21))</f>
        <v>0</v>
      </c>
      <c r="I21" s="120" t="n">
        <f aca="false">IF($A21="","",COUNTIFS(Gastos!$A$7:$A$400,$A21))</f>
        <v>0</v>
      </c>
    </row>
    <row r="22" customFormat="false" ht="18" hidden="false" customHeight="true" outlineLevel="0" collapsed="false">
      <c r="A22" s="121" t="n">
        <f aca="false">IF($A21="","",IF($A21+1&gt;Painel!$C$9,"",$A21+1))</f>
        <v>46522</v>
      </c>
      <c r="B22" s="122" t="n">
        <f aca="false">IF($A22="","",SUMIFS(Gastos!$J$7:$J$400,Gastos!$A$7:$A$400,$A22))</f>
        <v>0</v>
      </c>
      <c r="C22" s="123" t="n">
        <f aca="false">IF($A22="","",SUM($B$7:$B22))</f>
        <v>104</v>
      </c>
      <c r="D22" s="123" t="n">
        <f aca="false">IF($A22="","",SUMIFS(Gastos!$J$7:$J$400,Gastos!$A$7:$A$400,$A22,Gastos!$B$7:$B$400,D$6))</f>
        <v>0</v>
      </c>
      <c r="E22" s="123" t="n">
        <f aca="false">IF($A22="","",SUMIFS(Gastos!$J$7:$J$400,Gastos!$A$7:$A$400,$A22,Gastos!$B$7:$B$400,E$6))</f>
        <v>0</v>
      </c>
      <c r="F22" s="123" t="n">
        <f aca="false">IF($A22="","",SUMIFS(Gastos!$J$7:$J$400,Gastos!$A$7:$A$400,$A22,Gastos!$B$7:$B$400,F$6))</f>
        <v>0</v>
      </c>
      <c r="G22" s="123" t="n">
        <f aca="false">IF($A22="","",SUMIFS(Gastos!$J$7:$J$400,Gastos!$A$7:$A$400,$A22,Gastos!$B$7:$B$400,G$6))</f>
        <v>0</v>
      </c>
      <c r="H22" s="123" t="n">
        <f aca="false">IF($A22="","",$B22-SUM($D22:$G22))</f>
        <v>0</v>
      </c>
      <c r="I22" s="124" t="n">
        <f aca="false">IF($A22="","",COUNTIFS(Gastos!$A$7:$A$400,$A22))</f>
        <v>0</v>
      </c>
    </row>
    <row r="23" customFormat="false" ht="18" hidden="false" customHeight="true" outlineLevel="0" collapsed="false">
      <c r="A23" s="117" t="n">
        <f aca="false">IF($A22="","",IF($A22+1&gt;Painel!$C$9,"",$A22+1))</f>
        <v>46523</v>
      </c>
      <c r="B23" s="118" t="n">
        <f aca="false">IF($A23="","",SUMIFS(Gastos!$J$7:$J$400,Gastos!$A$7:$A$400,$A23))</f>
        <v>0</v>
      </c>
      <c r="C23" s="119" t="n">
        <f aca="false">IF($A23="","",SUM($B$7:$B23))</f>
        <v>104</v>
      </c>
      <c r="D23" s="119" t="n">
        <f aca="false">IF($A23="","",SUMIFS(Gastos!$J$7:$J$400,Gastos!$A$7:$A$400,$A23,Gastos!$B$7:$B$400,D$6))</f>
        <v>0</v>
      </c>
      <c r="E23" s="119" t="n">
        <f aca="false">IF($A23="","",SUMIFS(Gastos!$J$7:$J$400,Gastos!$A$7:$A$400,$A23,Gastos!$B$7:$B$400,E$6))</f>
        <v>0</v>
      </c>
      <c r="F23" s="119" t="n">
        <f aca="false">IF($A23="","",SUMIFS(Gastos!$J$7:$J$400,Gastos!$A$7:$A$400,$A23,Gastos!$B$7:$B$400,F$6))</f>
        <v>0</v>
      </c>
      <c r="G23" s="119" t="n">
        <f aca="false">IF($A23="","",SUMIFS(Gastos!$J$7:$J$400,Gastos!$A$7:$A$400,$A23,Gastos!$B$7:$B$400,G$6))</f>
        <v>0</v>
      </c>
      <c r="H23" s="119" t="n">
        <f aca="false">IF($A23="","",$B23-SUM($D23:$G23))</f>
        <v>0</v>
      </c>
      <c r="I23" s="120" t="n">
        <f aca="false">IF($A23="","",COUNTIFS(Gastos!$A$7:$A$400,$A23))</f>
        <v>0</v>
      </c>
    </row>
    <row r="24" customFormat="false" ht="18" hidden="false" customHeight="true" outlineLevel="0" collapsed="false">
      <c r="A24" s="121" t="str">
        <f aca="false">IF($A23="","",IF($A23+1&gt;Painel!$C$9,"",$A23+1))</f>
        <v/>
      </c>
      <c r="B24" s="122" t="str">
        <f aca="false">IF($A24="","",SUMIFS(Gastos!$J$7:$J$400,Gastos!$A$7:$A$400,$A24))</f>
        <v/>
      </c>
      <c r="C24" s="123" t="str">
        <f aca="false">IF($A24="","",SUM($B$7:$B24))</f>
        <v/>
      </c>
      <c r="D24" s="123" t="str">
        <f aca="false">IF($A24="","",SUMIFS(Gastos!$J$7:$J$400,Gastos!$A$7:$A$400,$A24,Gastos!$B$7:$B$400,D$6))</f>
        <v/>
      </c>
      <c r="E24" s="123" t="str">
        <f aca="false">IF($A24="","",SUMIFS(Gastos!$J$7:$J$400,Gastos!$A$7:$A$400,$A24,Gastos!$B$7:$B$400,E$6))</f>
        <v/>
      </c>
      <c r="F24" s="123" t="str">
        <f aca="false">IF($A24="","",SUMIFS(Gastos!$J$7:$J$400,Gastos!$A$7:$A$400,$A24,Gastos!$B$7:$B$400,F$6))</f>
        <v/>
      </c>
      <c r="G24" s="123" t="str">
        <f aca="false">IF($A24="","",SUMIFS(Gastos!$J$7:$J$400,Gastos!$A$7:$A$400,$A24,Gastos!$B$7:$B$400,G$6))</f>
        <v/>
      </c>
      <c r="H24" s="123" t="str">
        <f aca="false">IF($A24="","",$B24-SUM($D24:$G24))</f>
        <v/>
      </c>
      <c r="I24" s="124" t="str">
        <f aca="false">IF($A24="","",COUNTIFS(Gastos!$A$7:$A$400,$A24))</f>
        <v/>
      </c>
    </row>
    <row r="25" customFormat="false" ht="18" hidden="false" customHeight="true" outlineLevel="0" collapsed="false">
      <c r="A25" s="117" t="str">
        <f aca="false">IF($A24="","",IF($A24+1&gt;Painel!$C$9,"",$A24+1))</f>
        <v/>
      </c>
      <c r="B25" s="118" t="str">
        <f aca="false">IF($A25="","",SUMIFS(Gastos!$J$7:$J$400,Gastos!$A$7:$A$400,$A25))</f>
        <v/>
      </c>
      <c r="C25" s="119" t="str">
        <f aca="false">IF($A25="","",SUM($B$7:$B25))</f>
        <v/>
      </c>
      <c r="D25" s="119" t="str">
        <f aca="false">IF($A25="","",SUMIFS(Gastos!$J$7:$J$400,Gastos!$A$7:$A$400,$A25,Gastos!$B$7:$B$400,D$6))</f>
        <v/>
      </c>
      <c r="E25" s="119" t="str">
        <f aca="false">IF($A25="","",SUMIFS(Gastos!$J$7:$J$400,Gastos!$A$7:$A$400,$A25,Gastos!$B$7:$B$400,E$6))</f>
        <v/>
      </c>
      <c r="F25" s="119" t="str">
        <f aca="false">IF($A25="","",SUMIFS(Gastos!$J$7:$J$400,Gastos!$A$7:$A$400,$A25,Gastos!$B$7:$B$400,F$6))</f>
        <v/>
      </c>
      <c r="G25" s="119" t="str">
        <f aca="false">IF($A25="","",SUMIFS(Gastos!$J$7:$J$400,Gastos!$A$7:$A$400,$A25,Gastos!$B$7:$B$400,G$6))</f>
        <v/>
      </c>
      <c r="H25" s="119" t="str">
        <f aca="false">IF($A25="","",$B25-SUM($D25:$G25))</f>
        <v/>
      </c>
      <c r="I25" s="120" t="str">
        <f aca="false">IF($A25="","",COUNTIFS(Gastos!$A$7:$A$400,$A25))</f>
        <v/>
      </c>
    </row>
    <row r="26" customFormat="false" ht="18" hidden="false" customHeight="true" outlineLevel="0" collapsed="false">
      <c r="A26" s="121" t="str">
        <f aca="false">IF($A25="","",IF($A25+1&gt;Painel!$C$9,"",$A25+1))</f>
        <v/>
      </c>
      <c r="B26" s="122" t="str">
        <f aca="false">IF($A26="","",SUMIFS(Gastos!$J$7:$J$400,Gastos!$A$7:$A$400,$A26))</f>
        <v/>
      </c>
      <c r="C26" s="123" t="str">
        <f aca="false">IF($A26="","",SUM($B$7:$B26))</f>
        <v/>
      </c>
      <c r="D26" s="123" t="str">
        <f aca="false">IF($A26="","",SUMIFS(Gastos!$J$7:$J$400,Gastos!$A$7:$A$400,$A26,Gastos!$B$7:$B$400,D$6))</f>
        <v/>
      </c>
      <c r="E26" s="123" t="str">
        <f aca="false">IF($A26="","",SUMIFS(Gastos!$J$7:$J$400,Gastos!$A$7:$A$400,$A26,Gastos!$B$7:$B$400,E$6))</f>
        <v/>
      </c>
      <c r="F26" s="123" t="str">
        <f aca="false">IF($A26="","",SUMIFS(Gastos!$J$7:$J$400,Gastos!$A$7:$A$400,$A26,Gastos!$B$7:$B$400,F$6))</f>
        <v/>
      </c>
      <c r="G26" s="123" t="str">
        <f aca="false">IF($A26="","",SUMIFS(Gastos!$J$7:$J$400,Gastos!$A$7:$A$400,$A26,Gastos!$B$7:$B$400,G$6))</f>
        <v/>
      </c>
      <c r="H26" s="123" t="str">
        <f aca="false">IF($A26="","",$B26-SUM($D26:$G26))</f>
        <v/>
      </c>
      <c r="I26" s="124" t="str">
        <f aca="false">IF($A26="","",COUNTIFS(Gastos!$A$7:$A$400,$A26))</f>
        <v/>
      </c>
    </row>
    <row r="27" customFormat="false" ht="18" hidden="false" customHeight="true" outlineLevel="0" collapsed="false">
      <c r="A27" s="117" t="str">
        <f aca="false">IF($A26="","",IF($A26+1&gt;Painel!$C$9,"",$A26+1))</f>
        <v/>
      </c>
      <c r="B27" s="118" t="str">
        <f aca="false">IF($A27="","",SUMIFS(Gastos!$J$7:$J$400,Gastos!$A$7:$A$400,$A27))</f>
        <v/>
      </c>
      <c r="C27" s="119" t="str">
        <f aca="false">IF($A27="","",SUM($B$7:$B27))</f>
        <v/>
      </c>
      <c r="D27" s="119" t="str">
        <f aca="false">IF($A27="","",SUMIFS(Gastos!$J$7:$J$400,Gastos!$A$7:$A$400,$A27,Gastos!$B$7:$B$400,D$6))</f>
        <v/>
      </c>
      <c r="E27" s="119" t="str">
        <f aca="false">IF($A27="","",SUMIFS(Gastos!$J$7:$J$400,Gastos!$A$7:$A$400,$A27,Gastos!$B$7:$B$400,E$6))</f>
        <v/>
      </c>
      <c r="F27" s="119" t="str">
        <f aca="false">IF($A27="","",SUMIFS(Gastos!$J$7:$J$400,Gastos!$A$7:$A$400,$A27,Gastos!$B$7:$B$400,F$6))</f>
        <v/>
      </c>
      <c r="G27" s="119" t="str">
        <f aca="false">IF($A27="","",SUMIFS(Gastos!$J$7:$J$400,Gastos!$A$7:$A$400,$A27,Gastos!$B$7:$B$400,G$6))</f>
        <v/>
      </c>
      <c r="H27" s="119" t="str">
        <f aca="false">IF($A27="","",$B27-SUM($D27:$G27))</f>
        <v/>
      </c>
      <c r="I27" s="120" t="str">
        <f aca="false">IF($A27="","",COUNTIFS(Gastos!$A$7:$A$400,$A27))</f>
        <v/>
      </c>
    </row>
    <row r="28" customFormat="false" ht="18" hidden="false" customHeight="true" outlineLevel="0" collapsed="false">
      <c r="A28" s="121" t="str">
        <f aca="false">IF($A27="","",IF($A27+1&gt;Painel!$C$9,"",$A27+1))</f>
        <v/>
      </c>
      <c r="B28" s="122" t="str">
        <f aca="false">IF($A28="","",SUMIFS(Gastos!$J$7:$J$400,Gastos!$A$7:$A$400,$A28))</f>
        <v/>
      </c>
      <c r="C28" s="123" t="str">
        <f aca="false">IF($A28="","",SUM($B$7:$B28))</f>
        <v/>
      </c>
      <c r="D28" s="123" t="str">
        <f aca="false">IF($A28="","",SUMIFS(Gastos!$J$7:$J$400,Gastos!$A$7:$A$400,$A28,Gastos!$B$7:$B$400,D$6))</f>
        <v/>
      </c>
      <c r="E28" s="123" t="str">
        <f aca="false">IF($A28="","",SUMIFS(Gastos!$J$7:$J$400,Gastos!$A$7:$A$400,$A28,Gastos!$B$7:$B$400,E$6))</f>
        <v/>
      </c>
      <c r="F28" s="123" t="str">
        <f aca="false">IF($A28="","",SUMIFS(Gastos!$J$7:$J$400,Gastos!$A$7:$A$400,$A28,Gastos!$B$7:$B$400,F$6))</f>
        <v/>
      </c>
      <c r="G28" s="123" t="str">
        <f aca="false">IF($A28="","",SUMIFS(Gastos!$J$7:$J$400,Gastos!$A$7:$A$400,$A28,Gastos!$B$7:$B$400,G$6))</f>
        <v/>
      </c>
      <c r="H28" s="123" t="str">
        <f aca="false">IF($A28="","",$B28-SUM($D28:$G28))</f>
        <v/>
      </c>
      <c r="I28" s="124" t="str">
        <f aca="false">IF($A28="","",COUNTIFS(Gastos!$A$7:$A$400,$A28))</f>
        <v/>
      </c>
    </row>
    <row r="29" customFormat="false" ht="18" hidden="false" customHeight="true" outlineLevel="0" collapsed="false">
      <c r="A29" s="117" t="str">
        <f aca="false">IF($A28="","",IF($A28+1&gt;Painel!$C$9,"",$A28+1))</f>
        <v/>
      </c>
      <c r="B29" s="118" t="str">
        <f aca="false">IF($A29="","",SUMIFS(Gastos!$J$7:$J$400,Gastos!$A$7:$A$400,$A29))</f>
        <v/>
      </c>
      <c r="C29" s="119" t="str">
        <f aca="false">IF($A29="","",SUM($B$7:$B29))</f>
        <v/>
      </c>
      <c r="D29" s="119" t="str">
        <f aca="false">IF($A29="","",SUMIFS(Gastos!$J$7:$J$400,Gastos!$A$7:$A$400,$A29,Gastos!$B$7:$B$400,D$6))</f>
        <v/>
      </c>
      <c r="E29" s="119" t="str">
        <f aca="false">IF($A29="","",SUMIFS(Gastos!$J$7:$J$400,Gastos!$A$7:$A$400,$A29,Gastos!$B$7:$B$400,E$6))</f>
        <v/>
      </c>
      <c r="F29" s="119" t="str">
        <f aca="false">IF($A29="","",SUMIFS(Gastos!$J$7:$J$400,Gastos!$A$7:$A$400,$A29,Gastos!$B$7:$B$400,F$6))</f>
        <v/>
      </c>
      <c r="G29" s="119" t="str">
        <f aca="false">IF($A29="","",SUMIFS(Gastos!$J$7:$J$400,Gastos!$A$7:$A$400,$A29,Gastos!$B$7:$B$400,G$6))</f>
        <v/>
      </c>
      <c r="H29" s="119" t="str">
        <f aca="false">IF($A29="","",$B29-SUM($D29:$G29))</f>
        <v/>
      </c>
      <c r="I29" s="120" t="str">
        <f aca="false">IF($A29="","",COUNTIFS(Gastos!$A$7:$A$400,$A29))</f>
        <v/>
      </c>
    </row>
    <row r="30" customFormat="false" ht="18" hidden="false" customHeight="true" outlineLevel="0" collapsed="false">
      <c r="A30" s="121" t="str">
        <f aca="false">IF($A29="","",IF($A29+1&gt;Painel!$C$9,"",$A29+1))</f>
        <v/>
      </c>
      <c r="B30" s="122" t="str">
        <f aca="false">IF($A30="","",SUMIFS(Gastos!$J$7:$J$400,Gastos!$A$7:$A$400,$A30))</f>
        <v/>
      </c>
      <c r="C30" s="123" t="str">
        <f aca="false">IF($A30="","",SUM($B$7:$B30))</f>
        <v/>
      </c>
      <c r="D30" s="123" t="str">
        <f aca="false">IF($A30="","",SUMIFS(Gastos!$J$7:$J$400,Gastos!$A$7:$A$400,$A30,Gastos!$B$7:$B$400,D$6))</f>
        <v/>
      </c>
      <c r="E30" s="123" t="str">
        <f aca="false">IF($A30="","",SUMIFS(Gastos!$J$7:$J$400,Gastos!$A$7:$A$400,$A30,Gastos!$B$7:$B$400,E$6))</f>
        <v/>
      </c>
      <c r="F30" s="123" t="str">
        <f aca="false">IF($A30="","",SUMIFS(Gastos!$J$7:$J$400,Gastos!$A$7:$A$400,$A30,Gastos!$B$7:$B$400,F$6))</f>
        <v/>
      </c>
      <c r="G30" s="123" t="str">
        <f aca="false">IF($A30="","",SUMIFS(Gastos!$J$7:$J$400,Gastos!$A$7:$A$400,$A30,Gastos!$B$7:$B$400,G$6))</f>
        <v/>
      </c>
      <c r="H30" s="123" t="str">
        <f aca="false">IF($A30="","",$B30-SUM($D30:$G30))</f>
        <v/>
      </c>
      <c r="I30" s="124" t="str">
        <f aca="false">IF($A30="","",COUNTIFS(Gastos!$A$7:$A$400,$A30))</f>
        <v/>
      </c>
    </row>
    <row r="31" customFormat="false" ht="18" hidden="false" customHeight="true" outlineLevel="0" collapsed="false">
      <c r="A31" s="117" t="str">
        <f aca="false">IF($A30="","",IF($A30+1&gt;Painel!$C$9,"",$A30+1))</f>
        <v/>
      </c>
      <c r="B31" s="118" t="str">
        <f aca="false">IF($A31="","",SUMIFS(Gastos!$J$7:$J$400,Gastos!$A$7:$A$400,$A31))</f>
        <v/>
      </c>
      <c r="C31" s="119" t="str">
        <f aca="false">IF($A31="","",SUM($B$7:$B31))</f>
        <v/>
      </c>
      <c r="D31" s="119" t="str">
        <f aca="false">IF($A31="","",SUMIFS(Gastos!$J$7:$J$400,Gastos!$A$7:$A$400,$A31,Gastos!$B$7:$B$400,D$6))</f>
        <v/>
      </c>
      <c r="E31" s="119" t="str">
        <f aca="false">IF($A31="","",SUMIFS(Gastos!$J$7:$J$400,Gastos!$A$7:$A$400,$A31,Gastos!$B$7:$B$400,E$6))</f>
        <v/>
      </c>
      <c r="F31" s="119" t="str">
        <f aca="false">IF($A31="","",SUMIFS(Gastos!$J$7:$J$400,Gastos!$A$7:$A$400,$A31,Gastos!$B$7:$B$400,F$6))</f>
        <v/>
      </c>
      <c r="G31" s="119" t="str">
        <f aca="false">IF($A31="","",SUMIFS(Gastos!$J$7:$J$400,Gastos!$A$7:$A$400,$A31,Gastos!$B$7:$B$400,G$6))</f>
        <v/>
      </c>
      <c r="H31" s="119" t="str">
        <f aca="false">IF($A31="","",$B31-SUM($D31:$G31))</f>
        <v/>
      </c>
      <c r="I31" s="120" t="str">
        <f aca="false">IF($A31="","",COUNTIFS(Gastos!$A$7:$A$400,$A31))</f>
        <v/>
      </c>
    </row>
    <row r="32" customFormat="false" ht="18" hidden="false" customHeight="true" outlineLevel="0" collapsed="false">
      <c r="A32" s="121" t="str">
        <f aca="false">IF($A31="","",IF($A31+1&gt;Painel!$C$9,"",$A31+1))</f>
        <v/>
      </c>
      <c r="B32" s="122" t="str">
        <f aca="false">IF($A32="","",SUMIFS(Gastos!$J$7:$J$400,Gastos!$A$7:$A$400,$A32))</f>
        <v/>
      </c>
      <c r="C32" s="123" t="str">
        <f aca="false">IF($A32="","",SUM($B$7:$B32))</f>
        <v/>
      </c>
      <c r="D32" s="123" t="str">
        <f aca="false">IF($A32="","",SUMIFS(Gastos!$J$7:$J$400,Gastos!$A$7:$A$400,$A32,Gastos!$B$7:$B$400,D$6))</f>
        <v/>
      </c>
      <c r="E32" s="123" t="str">
        <f aca="false">IF($A32="","",SUMIFS(Gastos!$J$7:$J$400,Gastos!$A$7:$A$400,$A32,Gastos!$B$7:$B$400,E$6))</f>
        <v/>
      </c>
      <c r="F32" s="123" t="str">
        <f aca="false">IF($A32="","",SUMIFS(Gastos!$J$7:$J$400,Gastos!$A$7:$A$400,$A32,Gastos!$B$7:$B$400,F$6))</f>
        <v/>
      </c>
      <c r="G32" s="123" t="str">
        <f aca="false">IF($A32="","",SUMIFS(Gastos!$J$7:$J$400,Gastos!$A$7:$A$400,$A32,Gastos!$B$7:$B$400,G$6))</f>
        <v/>
      </c>
      <c r="H32" s="123" t="str">
        <f aca="false">IF($A32="","",$B32-SUM($D32:$G32))</f>
        <v/>
      </c>
      <c r="I32" s="124" t="str">
        <f aca="false">IF($A32="","",COUNTIFS(Gastos!$A$7:$A$400,$A32))</f>
        <v/>
      </c>
    </row>
    <row r="33" customFormat="false" ht="18" hidden="false" customHeight="true" outlineLevel="0" collapsed="false">
      <c r="A33" s="117" t="str">
        <f aca="false">IF($A32="","",IF($A32+1&gt;Painel!$C$9,"",$A32+1))</f>
        <v/>
      </c>
      <c r="B33" s="118" t="str">
        <f aca="false">IF($A33="","",SUMIFS(Gastos!$J$7:$J$400,Gastos!$A$7:$A$400,$A33))</f>
        <v/>
      </c>
      <c r="C33" s="119" t="str">
        <f aca="false">IF($A33="","",SUM($B$7:$B33))</f>
        <v/>
      </c>
      <c r="D33" s="119" t="str">
        <f aca="false">IF($A33="","",SUMIFS(Gastos!$J$7:$J$400,Gastos!$A$7:$A$400,$A33,Gastos!$B$7:$B$400,D$6))</f>
        <v/>
      </c>
      <c r="E33" s="119" t="str">
        <f aca="false">IF($A33="","",SUMIFS(Gastos!$J$7:$J$400,Gastos!$A$7:$A$400,$A33,Gastos!$B$7:$B$400,E$6))</f>
        <v/>
      </c>
      <c r="F33" s="119" t="str">
        <f aca="false">IF($A33="","",SUMIFS(Gastos!$J$7:$J$400,Gastos!$A$7:$A$400,$A33,Gastos!$B$7:$B$400,F$6))</f>
        <v/>
      </c>
      <c r="G33" s="119" t="str">
        <f aca="false">IF($A33="","",SUMIFS(Gastos!$J$7:$J$400,Gastos!$A$7:$A$400,$A33,Gastos!$B$7:$B$400,G$6))</f>
        <v/>
      </c>
      <c r="H33" s="119" t="str">
        <f aca="false">IF($A33="","",$B33-SUM($D33:$G33))</f>
        <v/>
      </c>
      <c r="I33" s="120" t="str">
        <f aca="false">IF($A33="","",COUNTIFS(Gastos!$A$7:$A$400,$A33))</f>
        <v/>
      </c>
    </row>
    <row r="34" customFormat="false" ht="18" hidden="false" customHeight="true" outlineLevel="0" collapsed="false">
      <c r="A34" s="121" t="str">
        <f aca="false">IF($A33="","",IF($A33+1&gt;Painel!$C$9,"",$A33+1))</f>
        <v/>
      </c>
      <c r="B34" s="122" t="str">
        <f aca="false">IF($A34="","",SUMIFS(Gastos!$J$7:$J$400,Gastos!$A$7:$A$400,$A34))</f>
        <v/>
      </c>
      <c r="C34" s="123" t="str">
        <f aca="false">IF($A34="","",SUM($B$7:$B34))</f>
        <v/>
      </c>
      <c r="D34" s="123" t="str">
        <f aca="false">IF($A34="","",SUMIFS(Gastos!$J$7:$J$400,Gastos!$A$7:$A$400,$A34,Gastos!$B$7:$B$400,D$6))</f>
        <v/>
      </c>
      <c r="E34" s="123" t="str">
        <f aca="false">IF($A34="","",SUMIFS(Gastos!$J$7:$J$400,Gastos!$A$7:$A$400,$A34,Gastos!$B$7:$B$400,E$6))</f>
        <v/>
      </c>
      <c r="F34" s="123" t="str">
        <f aca="false">IF($A34="","",SUMIFS(Gastos!$J$7:$J$400,Gastos!$A$7:$A$400,$A34,Gastos!$B$7:$B$400,F$6))</f>
        <v/>
      </c>
      <c r="G34" s="123" t="str">
        <f aca="false">IF($A34="","",SUMIFS(Gastos!$J$7:$J$400,Gastos!$A$7:$A$400,$A34,Gastos!$B$7:$B$400,G$6))</f>
        <v/>
      </c>
      <c r="H34" s="123" t="str">
        <f aca="false">IF($A34="","",$B34-SUM($D34:$G34))</f>
        <v/>
      </c>
      <c r="I34" s="124" t="str">
        <f aca="false">IF($A34="","",COUNTIFS(Gastos!$A$7:$A$400,$A34))</f>
        <v/>
      </c>
    </row>
    <row r="35" customFormat="false" ht="18" hidden="false" customHeight="true" outlineLevel="0" collapsed="false">
      <c r="A35" s="117" t="str">
        <f aca="false">IF($A34="","",IF($A34+1&gt;Painel!$C$9,"",$A34+1))</f>
        <v/>
      </c>
      <c r="B35" s="118" t="str">
        <f aca="false">IF($A35="","",SUMIFS(Gastos!$J$7:$J$400,Gastos!$A$7:$A$400,$A35))</f>
        <v/>
      </c>
      <c r="C35" s="119" t="str">
        <f aca="false">IF($A35="","",SUM($B$7:$B35))</f>
        <v/>
      </c>
      <c r="D35" s="119" t="str">
        <f aca="false">IF($A35="","",SUMIFS(Gastos!$J$7:$J$400,Gastos!$A$7:$A$400,$A35,Gastos!$B$7:$B$400,D$6))</f>
        <v/>
      </c>
      <c r="E35" s="119" t="str">
        <f aca="false">IF($A35="","",SUMIFS(Gastos!$J$7:$J$400,Gastos!$A$7:$A$400,$A35,Gastos!$B$7:$B$400,E$6))</f>
        <v/>
      </c>
      <c r="F35" s="119" t="str">
        <f aca="false">IF($A35="","",SUMIFS(Gastos!$J$7:$J$400,Gastos!$A$7:$A$400,$A35,Gastos!$B$7:$B$400,F$6))</f>
        <v/>
      </c>
      <c r="G35" s="119" t="str">
        <f aca="false">IF($A35="","",SUMIFS(Gastos!$J$7:$J$400,Gastos!$A$7:$A$400,$A35,Gastos!$B$7:$B$400,G$6))</f>
        <v/>
      </c>
      <c r="H35" s="119" t="str">
        <f aca="false">IF($A35="","",$B35-SUM($D35:$G35))</f>
        <v/>
      </c>
      <c r="I35" s="120" t="str">
        <f aca="false">IF($A35="","",COUNTIFS(Gastos!$A$7:$A$400,$A35))</f>
        <v/>
      </c>
    </row>
    <row r="36" customFormat="false" ht="18" hidden="false" customHeight="true" outlineLevel="0" collapsed="false">
      <c r="A36" s="121" t="str">
        <f aca="false">IF($A35="","",IF($A35+1&gt;Painel!$C$9,"",$A35+1))</f>
        <v/>
      </c>
      <c r="B36" s="122" t="str">
        <f aca="false">IF($A36="","",SUMIFS(Gastos!$J$7:$J$400,Gastos!$A$7:$A$400,$A36))</f>
        <v/>
      </c>
      <c r="C36" s="123" t="str">
        <f aca="false">IF($A36="","",SUM($B$7:$B36))</f>
        <v/>
      </c>
      <c r="D36" s="123" t="str">
        <f aca="false">IF($A36="","",SUMIFS(Gastos!$J$7:$J$400,Gastos!$A$7:$A$400,$A36,Gastos!$B$7:$B$400,D$6))</f>
        <v/>
      </c>
      <c r="E36" s="123" t="str">
        <f aca="false">IF($A36="","",SUMIFS(Gastos!$J$7:$J$400,Gastos!$A$7:$A$400,$A36,Gastos!$B$7:$B$400,E$6))</f>
        <v/>
      </c>
      <c r="F36" s="123" t="str">
        <f aca="false">IF($A36="","",SUMIFS(Gastos!$J$7:$J$400,Gastos!$A$7:$A$400,$A36,Gastos!$B$7:$B$400,F$6))</f>
        <v/>
      </c>
      <c r="G36" s="123" t="str">
        <f aca="false">IF($A36="","",SUMIFS(Gastos!$J$7:$J$400,Gastos!$A$7:$A$400,$A36,Gastos!$B$7:$B$400,G$6))</f>
        <v/>
      </c>
      <c r="H36" s="123" t="str">
        <f aca="false">IF($A36="","",$B36-SUM($D36:$G36))</f>
        <v/>
      </c>
      <c r="I36" s="124" t="str">
        <f aca="false">IF($A36="","",COUNTIFS(Gastos!$A$7:$A$400,$A36))</f>
        <v/>
      </c>
    </row>
    <row r="37" customFormat="false" ht="18" hidden="false" customHeight="true" outlineLevel="0" collapsed="false">
      <c r="A37" s="117" t="str">
        <f aca="false">IF($A36="","",IF($A36+1&gt;Painel!$C$9,"",$A36+1))</f>
        <v/>
      </c>
      <c r="B37" s="118" t="str">
        <f aca="false">IF($A37="","",SUMIFS(Gastos!$J$7:$J$400,Gastos!$A$7:$A$400,$A37))</f>
        <v/>
      </c>
      <c r="C37" s="119" t="str">
        <f aca="false">IF($A37="","",SUM($B$7:$B37))</f>
        <v/>
      </c>
      <c r="D37" s="119" t="str">
        <f aca="false">IF($A37="","",SUMIFS(Gastos!$J$7:$J$400,Gastos!$A$7:$A$400,$A37,Gastos!$B$7:$B$400,D$6))</f>
        <v/>
      </c>
      <c r="E37" s="119" t="str">
        <f aca="false">IF($A37="","",SUMIFS(Gastos!$J$7:$J$400,Gastos!$A$7:$A$400,$A37,Gastos!$B$7:$B$400,E$6))</f>
        <v/>
      </c>
      <c r="F37" s="119" t="str">
        <f aca="false">IF($A37="","",SUMIFS(Gastos!$J$7:$J$400,Gastos!$A$7:$A$400,$A37,Gastos!$B$7:$B$400,F$6))</f>
        <v/>
      </c>
      <c r="G37" s="119" t="str">
        <f aca="false">IF($A37="","",SUMIFS(Gastos!$J$7:$J$400,Gastos!$A$7:$A$400,$A37,Gastos!$B$7:$B$400,G$6))</f>
        <v/>
      </c>
      <c r="H37" s="119" t="str">
        <f aca="false">IF($A37="","",$B37-SUM($D37:$G37))</f>
        <v/>
      </c>
      <c r="I37" s="120" t="str">
        <f aca="false">IF($A37="","",COUNTIFS(Gastos!$A$7:$A$400,$A37))</f>
        <v/>
      </c>
    </row>
    <row r="38" customFormat="false" ht="18" hidden="false" customHeight="true" outlineLevel="0" collapsed="false">
      <c r="A38" s="121" t="str">
        <f aca="false">IF($A37="","",IF($A37+1&gt;Painel!$C$9,"",$A37+1))</f>
        <v/>
      </c>
      <c r="B38" s="122" t="str">
        <f aca="false">IF($A38="","",SUMIFS(Gastos!$J$7:$J$400,Gastos!$A$7:$A$400,$A38))</f>
        <v/>
      </c>
      <c r="C38" s="123" t="str">
        <f aca="false">IF($A38="","",SUM($B$7:$B38))</f>
        <v/>
      </c>
      <c r="D38" s="123" t="str">
        <f aca="false">IF($A38="","",SUMIFS(Gastos!$J$7:$J$400,Gastos!$A$7:$A$400,$A38,Gastos!$B$7:$B$400,D$6))</f>
        <v/>
      </c>
      <c r="E38" s="123" t="str">
        <f aca="false">IF($A38="","",SUMIFS(Gastos!$J$7:$J$400,Gastos!$A$7:$A$400,$A38,Gastos!$B$7:$B$400,E$6))</f>
        <v/>
      </c>
      <c r="F38" s="123" t="str">
        <f aca="false">IF($A38="","",SUMIFS(Gastos!$J$7:$J$400,Gastos!$A$7:$A$400,$A38,Gastos!$B$7:$B$400,F$6))</f>
        <v/>
      </c>
      <c r="G38" s="123" t="str">
        <f aca="false">IF($A38="","",SUMIFS(Gastos!$J$7:$J$400,Gastos!$A$7:$A$400,$A38,Gastos!$B$7:$B$400,G$6))</f>
        <v/>
      </c>
      <c r="H38" s="123" t="str">
        <f aca="false">IF($A38="","",$B38-SUM($D38:$G38))</f>
        <v/>
      </c>
      <c r="I38" s="124" t="str">
        <f aca="false">IF($A38="","",COUNTIFS(Gastos!$A$7:$A$400,$A38))</f>
        <v/>
      </c>
    </row>
    <row r="39" customFormat="false" ht="18" hidden="false" customHeight="true" outlineLevel="0" collapsed="false">
      <c r="A39" s="117" t="str">
        <f aca="false">IF($A38="","",IF($A38+1&gt;Painel!$C$9,"",$A38+1))</f>
        <v/>
      </c>
      <c r="B39" s="118" t="str">
        <f aca="false">IF($A39="","",SUMIFS(Gastos!$J$7:$J$400,Gastos!$A$7:$A$400,$A39))</f>
        <v/>
      </c>
      <c r="C39" s="119" t="str">
        <f aca="false">IF($A39="","",SUM($B$7:$B39))</f>
        <v/>
      </c>
      <c r="D39" s="119" t="str">
        <f aca="false">IF($A39="","",SUMIFS(Gastos!$J$7:$J$400,Gastos!$A$7:$A$400,$A39,Gastos!$B$7:$B$400,D$6))</f>
        <v/>
      </c>
      <c r="E39" s="119" t="str">
        <f aca="false">IF($A39="","",SUMIFS(Gastos!$J$7:$J$400,Gastos!$A$7:$A$400,$A39,Gastos!$B$7:$B$400,E$6))</f>
        <v/>
      </c>
      <c r="F39" s="119" t="str">
        <f aca="false">IF($A39="","",SUMIFS(Gastos!$J$7:$J$400,Gastos!$A$7:$A$400,$A39,Gastos!$B$7:$B$400,F$6))</f>
        <v/>
      </c>
      <c r="G39" s="119" t="str">
        <f aca="false">IF($A39="","",SUMIFS(Gastos!$J$7:$J$400,Gastos!$A$7:$A$400,$A39,Gastos!$B$7:$B$400,G$6))</f>
        <v/>
      </c>
      <c r="H39" s="119" t="str">
        <f aca="false">IF($A39="","",$B39-SUM($D39:$G39))</f>
        <v/>
      </c>
      <c r="I39" s="120" t="str">
        <f aca="false">IF($A39="","",COUNTIFS(Gastos!$A$7:$A$400,$A39))</f>
        <v/>
      </c>
    </row>
    <row r="40" customFormat="false" ht="18" hidden="false" customHeight="true" outlineLevel="0" collapsed="false">
      <c r="A40" s="121" t="str">
        <f aca="false">IF($A39="","",IF($A39+1&gt;Painel!$C$9,"",$A39+1))</f>
        <v/>
      </c>
      <c r="B40" s="122" t="str">
        <f aca="false">IF($A40="","",SUMIFS(Gastos!$J$7:$J$400,Gastos!$A$7:$A$400,$A40))</f>
        <v/>
      </c>
      <c r="C40" s="123" t="str">
        <f aca="false">IF($A40="","",SUM($B$7:$B40))</f>
        <v/>
      </c>
      <c r="D40" s="123" t="str">
        <f aca="false">IF($A40="","",SUMIFS(Gastos!$J$7:$J$400,Gastos!$A$7:$A$400,$A40,Gastos!$B$7:$B$400,D$6))</f>
        <v/>
      </c>
      <c r="E40" s="123" t="str">
        <f aca="false">IF($A40="","",SUMIFS(Gastos!$J$7:$J$400,Gastos!$A$7:$A$400,$A40,Gastos!$B$7:$B$400,E$6))</f>
        <v/>
      </c>
      <c r="F40" s="123" t="str">
        <f aca="false">IF($A40="","",SUMIFS(Gastos!$J$7:$J$400,Gastos!$A$7:$A$400,$A40,Gastos!$B$7:$B$400,F$6))</f>
        <v/>
      </c>
      <c r="G40" s="123" t="str">
        <f aca="false">IF($A40="","",SUMIFS(Gastos!$J$7:$J$400,Gastos!$A$7:$A$400,$A40,Gastos!$B$7:$B$400,G$6))</f>
        <v/>
      </c>
      <c r="H40" s="123" t="str">
        <f aca="false">IF($A40="","",$B40-SUM($D40:$G40))</f>
        <v/>
      </c>
      <c r="I40" s="124" t="str">
        <f aca="false">IF($A40="","",COUNTIFS(Gastos!$A$7:$A$400,$A40))</f>
        <v/>
      </c>
    </row>
    <row r="41" customFormat="false" ht="18" hidden="false" customHeight="true" outlineLevel="0" collapsed="false">
      <c r="A41" s="117" t="str">
        <f aca="false">IF($A40="","",IF($A40+1&gt;Painel!$C$9,"",$A40+1))</f>
        <v/>
      </c>
      <c r="B41" s="118" t="str">
        <f aca="false">IF($A41="","",SUMIFS(Gastos!$J$7:$J$400,Gastos!$A$7:$A$400,$A41))</f>
        <v/>
      </c>
      <c r="C41" s="119" t="str">
        <f aca="false">IF($A41="","",SUM($B$7:$B41))</f>
        <v/>
      </c>
      <c r="D41" s="119" t="str">
        <f aca="false">IF($A41="","",SUMIFS(Gastos!$J$7:$J$400,Gastos!$A$7:$A$400,$A41,Gastos!$B$7:$B$400,D$6))</f>
        <v/>
      </c>
      <c r="E41" s="119" t="str">
        <f aca="false">IF($A41="","",SUMIFS(Gastos!$J$7:$J$400,Gastos!$A$7:$A$400,$A41,Gastos!$B$7:$B$400,E$6))</f>
        <v/>
      </c>
      <c r="F41" s="119" t="str">
        <f aca="false">IF($A41="","",SUMIFS(Gastos!$J$7:$J$400,Gastos!$A$7:$A$400,$A41,Gastos!$B$7:$B$400,F$6))</f>
        <v/>
      </c>
      <c r="G41" s="119" t="str">
        <f aca="false">IF($A41="","",SUMIFS(Gastos!$J$7:$J$400,Gastos!$A$7:$A$400,$A41,Gastos!$B$7:$B$400,G$6))</f>
        <v/>
      </c>
      <c r="H41" s="119" t="str">
        <f aca="false">IF($A41="","",$B41-SUM($D41:$G41))</f>
        <v/>
      </c>
      <c r="I41" s="120" t="str">
        <f aca="false">IF($A41="","",COUNTIFS(Gastos!$A$7:$A$400,$A41))</f>
        <v/>
      </c>
    </row>
    <row r="42" customFormat="false" ht="18" hidden="false" customHeight="true" outlineLevel="0" collapsed="false">
      <c r="A42" s="121" t="str">
        <f aca="false">IF($A41="","",IF($A41+1&gt;Painel!$C$9,"",$A41+1))</f>
        <v/>
      </c>
      <c r="B42" s="122" t="str">
        <f aca="false">IF($A42="","",SUMIFS(Gastos!$J$7:$J$400,Gastos!$A$7:$A$400,$A42))</f>
        <v/>
      </c>
      <c r="C42" s="123" t="str">
        <f aca="false">IF($A42="","",SUM($B$7:$B42))</f>
        <v/>
      </c>
      <c r="D42" s="123" t="str">
        <f aca="false">IF($A42="","",SUMIFS(Gastos!$J$7:$J$400,Gastos!$A$7:$A$400,$A42,Gastos!$B$7:$B$400,D$6))</f>
        <v/>
      </c>
      <c r="E42" s="123" t="str">
        <f aca="false">IF($A42="","",SUMIFS(Gastos!$J$7:$J$400,Gastos!$A$7:$A$400,$A42,Gastos!$B$7:$B$400,E$6))</f>
        <v/>
      </c>
      <c r="F42" s="123" t="str">
        <f aca="false">IF($A42="","",SUMIFS(Gastos!$J$7:$J$400,Gastos!$A$7:$A$400,$A42,Gastos!$B$7:$B$400,F$6))</f>
        <v/>
      </c>
      <c r="G42" s="123" t="str">
        <f aca="false">IF($A42="","",SUMIFS(Gastos!$J$7:$J$400,Gastos!$A$7:$A$400,$A42,Gastos!$B$7:$B$400,G$6))</f>
        <v/>
      </c>
      <c r="H42" s="123" t="str">
        <f aca="false">IF($A42="","",$B42-SUM($D42:$G42))</f>
        <v/>
      </c>
      <c r="I42" s="124" t="str">
        <f aca="false">IF($A42="","",COUNTIFS(Gastos!$A$7:$A$400,$A42))</f>
        <v/>
      </c>
    </row>
    <row r="43" customFormat="false" ht="18" hidden="false" customHeight="true" outlineLevel="0" collapsed="false">
      <c r="A43" s="117" t="str">
        <f aca="false">IF($A42="","",IF($A42+1&gt;Painel!$C$9,"",$A42+1))</f>
        <v/>
      </c>
      <c r="B43" s="118" t="str">
        <f aca="false">IF($A43="","",SUMIFS(Gastos!$J$7:$J$400,Gastos!$A$7:$A$400,$A43))</f>
        <v/>
      </c>
      <c r="C43" s="119" t="str">
        <f aca="false">IF($A43="","",SUM($B$7:$B43))</f>
        <v/>
      </c>
      <c r="D43" s="119" t="str">
        <f aca="false">IF($A43="","",SUMIFS(Gastos!$J$7:$J$400,Gastos!$A$7:$A$400,$A43,Gastos!$B$7:$B$400,D$6))</f>
        <v/>
      </c>
      <c r="E43" s="119" t="str">
        <f aca="false">IF($A43="","",SUMIFS(Gastos!$J$7:$J$400,Gastos!$A$7:$A$400,$A43,Gastos!$B$7:$B$400,E$6))</f>
        <v/>
      </c>
      <c r="F43" s="119" t="str">
        <f aca="false">IF($A43="","",SUMIFS(Gastos!$J$7:$J$400,Gastos!$A$7:$A$400,$A43,Gastos!$B$7:$B$400,F$6))</f>
        <v/>
      </c>
      <c r="G43" s="119" t="str">
        <f aca="false">IF($A43="","",SUMIFS(Gastos!$J$7:$J$400,Gastos!$A$7:$A$400,$A43,Gastos!$B$7:$B$400,G$6))</f>
        <v/>
      </c>
      <c r="H43" s="119" t="str">
        <f aca="false">IF($A43="","",$B43-SUM($D43:$G43))</f>
        <v/>
      </c>
      <c r="I43" s="120" t="str">
        <f aca="false">IF($A43="","",COUNTIFS(Gastos!$A$7:$A$400,$A43))</f>
        <v/>
      </c>
    </row>
    <row r="44" customFormat="false" ht="18" hidden="false" customHeight="true" outlineLevel="0" collapsed="false">
      <c r="A44" s="121" t="str">
        <f aca="false">IF($A43="","",IF($A43+1&gt;Painel!$C$9,"",$A43+1))</f>
        <v/>
      </c>
      <c r="B44" s="122" t="str">
        <f aca="false">IF($A44="","",SUMIFS(Gastos!$J$7:$J$400,Gastos!$A$7:$A$400,$A44))</f>
        <v/>
      </c>
      <c r="C44" s="123" t="str">
        <f aca="false">IF($A44="","",SUM($B$7:$B44))</f>
        <v/>
      </c>
      <c r="D44" s="123" t="str">
        <f aca="false">IF($A44="","",SUMIFS(Gastos!$J$7:$J$400,Gastos!$A$7:$A$400,$A44,Gastos!$B$7:$B$400,D$6))</f>
        <v/>
      </c>
      <c r="E44" s="123" t="str">
        <f aca="false">IF($A44="","",SUMIFS(Gastos!$J$7:$J$400,Gastos!$A$7:$A$400,$A44,Gastos!$B$7:$B$400,E$6))</f>
        <v/>
      </c>
      <c r="F44" s="123" t="str">
        <f aca="false">IF($A44="","",SUMIFS(Gastos!$J$7:$J$400,Gastos!$A$7:$A$400,$A44,Gastos!$B$7:$B$400,F$6))</f>
        <v/>
      </c>
      <c r="G44" s="123" t="str">
        <f aca="false">IF($A44="","",SUMIFS(Gastos!$J$7:$J$400,Gastos!$A$7:$A$400,$A44,Gastos!$B$7:$B$400,G$6))</f>
        <v/>
      </c>
      <c r="H44" s="123" t="str">
        <f aca="false">IF($A44="","",$B44-SUM($D44:$G44))</f>
        <v/>
      </c>
      <c r="I44" s="124" t="str">
        <f aca="false">IF($A44="","",COUNTIFS(Gastos!$A$7:$A$400,$A44))</f>
        <v/>
      </c>
    </row>
    <row r="45" customFormat="false" ht="18" hidden="false" customHeight="true" outlineLevel="0" collapsed="false">
      <c r="A45" s="117" t="str">
        <f aca="false">IF($A44="","",IF($A44+1&gt;Painel!$C$9,"",$A44+1))</f>
        <v/>
      </c>
      <c r="B45" s="118" t="str">
        <f aca="false">IF($A45="","",SUMIFS(Gastos!$J$7:$J$400,Gastos!$A$7:$A$400,$A45))</f>
        <v/>
      </c>
      <c r="C45" s="119" t="str">
        <f aca="false">IF($A45="","",SUM($B$7:$B45))</f>
        <v/>
      </c>
      <c r="D45" s="119" t="str">
        <f aca="false">IF($A45="","",SUMIFS(Gastos!$J$7:$J$400,Gastos!$A$7:$A$400,$A45,Gastos!$B$7:$B$400,D$6))</f>
        <v/>
      </c>
      <c r="E45" s="119" t="str">
        <f aca="false">IF($A45="","",SUMIFS(Gastos!$J$7:$J$400,Gastos!$A$7:$A$400,$A45,Gastos!$B$7:$B$400,E$6))</f>
        <v/>
      </c>
      <c r="F45" s="119" t="str">
        <f aca="false">IF($A45="","",SUMIFS(Gastos!$J$7:$J$400,Gastos!$A$7:$A$400,$A45,Gastos!$B$7:$B$400,F$6))</f>
        <v/>
      </c>
      <c r="G45" s="119" t="str">
        <f aca="false">IF($A45="","",SUMIFS(Gastos!$J$7:$J$400,Gastos!$A$7:$A$400,$A45,Gastos!$B$7:$B$400,G$6))</f>
        <v/>
      </c>
      <c r="H45" s="119" t="str">
        <f aca="false">IF($A45="","",$B45-SUM($D45:$G45))</f>
        <v/>
      </c>
      <c r="I45" s="120" t="str">
        <f aca="false">IF($A45="","",COUNTIFS(Gastos!$A$7:$A$400,$A45))</f>
        <v/>
      </c>
    </row>
    <row r="46" customFormat="false" ht="18" hidden="false" customHeight="true" outlineLevel="0" collapsed="false">
      <c r="A46" s="121" t="str">
        <f aca="false">IF($A45="","",IF($A45+1&gt;Painel!$C$9,"",$A45+1))</f>
        <v/>
      </c>
      <c r="B46" s="122" t="str">
        <f aca="false">IF($A46="","",SUMIFS(Gastos!$J$7:$J$400,Gastos!$A$7:$A$400,$A46))</f>
        <v/>
      </c>
      <c r="C46" s="123" t="str">
        <f aca="false">IF($A46="","",SUM($B$7:$B46))</f>
        <v/>
      </c>
      <c r="D46" s="123" t="str">
        <f aca="false">IF($A46="","",SUMIFS(Gastos!$J$7:$J$400,Gastos!$A$7:$A$400,$A46,Gastos!$B$7:$B$400,D$6))</f>
        <v/>
      </c>
      <c r="E46" s="123" t="str">
        <f aca="false">IF($A46="","",SUMIFS(Gastos!$J$7:$J$400,Gastos!$A$7:$A$400,$A46,Gastos!$B$7:$B$400,E$6))</f>
        <v/>
      </c>
      <c r="F46" s="123" t="str">
        <f aca="false">IF($A46="","",SUMIFS(Gastos!$J$7:$J$400,Gastos!$A$7:$A$400,$A46,Gastos!$B$7:$B$400,F$6))</f>
        <v/>
      </c>
      <c r="G46" s="123" t="str">
        <f aca="false">IF($A46="","",SUMIFS(Gastos!$J$7:$J$400,Gastos!$A$7:$A$400,$A46,Gastos!$B$7:$B$400,G$6))</f>
        <v/>
      </c>
      <c r="H46" s="123" t="str">
        <f aca="false">IF($A46="","",$B46-SUM($D46:$G46))</f>
        <v/>
      </c>
      <c r="I46" s="124" t="str">
        <f aca="false">IF($A46="","",COUNTIFS(Gastos!$A$7:$A$400,$A46))</f>
        <v/>
      </c>
    </row>
    <row r="47" customFormat="false" ht="21.75" hidden="false" customHeight="true" outlineLevel="0" collapsed="false">
      <c r="A47" s="125" t="s">
        <v>39</v>
      </c>
      <c r="B47" s="49" t="n">
        <f aca="false">SUM(B7:B46)</f>
        <v>104</v>
      </c>
      <c r="C47" s="126"/>
      <c r="D47" s="49" t="n">
        <f aca="false">SUM(D7:D46)</f>
        <v>104</v>
      </c>
      <c r="E47" s="49" t="n">
        <f aca="false">SUM(E7:E46)</f>
        <v>0</v>
      </c>
      <c r="F47" s="49" t="n">
        <f aca="false">SUM(F7:F46)</f>
        <v>0</v>
      </c>
      <c r="G47" s="49" t="n">
        <f aca="false">SUM(G7:G46)</f>
        <v>0</v>
      </c>
      <c r="H47" s="49" t="n">
        <f aca="false">SUM(H7:H46)</f>
        <v>0</v>
      </c>
      <c r="I47" s="51" t="n">
        <f aca="false">SUM(I7:I46)</f>
        <v>1</v>
      </c>
    </row>
  </sheetData>
  <mergeCells count="2">
    <mergeCell ref="A3:I3"/>
    <mergeCell ref="A4:I4"/>
  </mergeCells>
  <conditionalFormatting sqref="B7:B46">
    <cfRule type="dataBar" priority="2">
      <dataBar showValue="1" minLength="10" maxLength="90">
        <cfvo type="num" val="0"/>
        <cfvo type="max" val="0"/>
        <color rgb="FF2A5DB0"/>
      </dataBar>
      <extLst>
        <ext xmlns:x14="http://schemas.microsoft.com/office/spreadsheetml/2009/9/main" uri="{B025F937-C7B1-47D3-B67F-A62EFF666E3E}">
          <x14:id>{3DE9805E-B7A5-40B5-B7A7-9E204165381B}</x14:id>
        </ext>
      </extLst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E9805E-B7A5-40B5-B7A7-9E204165381B}">
            <x14:dataBar minLength="10" maxLength="90" axisPosition="none" gradient="true">
              <x14:cfvo type="num">
                <xm:f>0</xm:f>
              </x14:cfvo>
              <x14:cfvo type="max"/>
              <x14:negativeFillColor rgb="FF2A5DB0"/>
              <x14:axisColor rgb="FF000000"/>
            </x14:dataBar>
          </x14:cfRule>
          <xm:sqref>B7:B46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true"/>
  </sheetPr>
  <dimension ref="B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8"/>
    <col collapsed="false" customWidth="true" hidden="false" outlineLevel="0" max="3" min="3" style="0" width="2.5"/>
    <col collapsed="false" customWidth="true" hidden="false" outlineLevel="0" max="4" min="4" style="0" width="32"/>
    <col collapsed="false" customWidth="true" hidden="false" outlineLevel="0" max="5" min="5" style="0" width="2.5"/>
    <col collapsed="false" customWidth="true" hidden="false" outlineLevel="0" max="6" min="6" style="0" width="16"/>
    <col collapsed="false" customWidth="true" hidden="false" outlineLevel="0" max="7" min="7" style="0" width="2.5"/>
    <col collapsed="false" customWidth="true" hidden="false" outlineLevel="0" max="8" min="8" style="0" width="16"/>
    <col collapsed="false" customWidth="true" hidden="false" outlineLevel="0" max="9" min="9" style="0" width="2.5"/>
    <col collapsed="false" customWidth="true" hidden="false" outlineLevel="0" max="10" min="10" style="0" width="26"/>
    <col collapsed="false" customWidth="true" hidden="false" outlineLevel="0" max="11" min="11" style="0" width="2.5"/>
    <col collapsed="false" customWidth="true" hidden="false" outlineLevel="0" max="12" min="12" style="0" width="18"/>
    <col collapsed="false" customWidth="true" hidden="false" outlineLevel="0" max="13" min="13" style="0" width="2.5"/>
  </cols>
  <sheetData>
    <row r="1" customFormat="false" ht="6" hidden="false" customHeight="true" outlineLevel="0" collapsed="false"/>
    <row r="2" customFormat="false" ht="6.75" hidden="false" customHeight="true" outlineLevel="0" collapsed="false"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36" hidden="false" customHeight="true" outlineLevel="0" collapsed="false">
      <c r="B3" s="2" t="s">
        <v>287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9.5" hidden="false" customHeight="true" outlineLevel="0" collapsed="false">
      <c r="B4" s="3" t="s">
        <v>288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12" hidden="false" customHeight="true" outlineLevel="0" collapsed="false"/>
    <row r="6" customFormat="false" ht="21.75" hidden="false" customHeight="true" outlineLevel="0" collapsed="false">
      <c r="B6" s="127" t="s">
        <v>289</v>
      </c>
      <c r="D6" s="127" t="s">
        <v>290</v>
      </c>
      <c r="F6" s="127" t="s">
        <v>291</v>
      </c>
      <c r="H6" s="127" t="s">
        <v>292</v>
      </c>
      <c r="J6" s="127" t="s">
        <v>293</v>
      </c>
      <c r="L6" s="127" t="s">
        <v>294</v>
      </c>
    </row>
    <row r="7" customFormat="false" ht="18" hidden="false" customHeight="true" outlineLevel="0" collapsed="false">
      <c r="B7" s="128" t="s">
        <v>62</v>
      </c>
      <c r="D7" s="128" t="s">
        <v>72</v>
      </c>
      <c r="F7" s="128" t="s">
        <v>66</v>
      </c>
      <c r="H7" s="128" t="s">
        <v>71</v>
      </c>
      <c r="J7" s="128" t="s">
        <v>70</v>
      </c>
      <c r="L7" s="128" t="s">
        <v>187</v>
      </c>
    </row>
    <row r="8" customFormat="false" ht="18" hidden="false" customHeight="true" outlineLevel="0" collapsed="false">
      <c r="B8" s="128" t="s">
        <v>295</v>
      </c>
      <c r="D8" s="128" t="s">
        <v>296</v>
      </c>
      <c r="F8" s="128" t="s">
        <v>297</v>
      </c>
      <c r="H8" s="128" t="s">
        <v>298</v>
      </c>
      <c r="J8" s="128" t="s">
        <v>95</v>
      </c>
      <c r="L8" s="128" t="s">
        <v>299</v>
      </c>
    </row>
    <row r="9" customFormat="false" ht="18" hidden="false" customHeight="true" outlineLevel="0" collapsed="false">
      <c r="B9" s="128" t="s">
        <v>300</v>
      </c>
      <c r="D9" s="128" t="s">
        <v>301</v>
      </c>
      <c r="F9" s="128" t="s">
        <v>302</v>
      </c>
      <c r="H9" s="128" t="s">
        <v>65</v>
      </c>
      <c r="J9" s="128" t="s">
        <v>98</v>
      </c>
      <c r="L9" s="128" t="s">
        <v>303</v>
      </c>
    </row>
    <row r="10" customFormat="false" ht="18" hidden="false" customHeight="true" outlineLevel="0" collapsed="false">
      <c r="B10" s="128" t="s">
        <v>304</v>
      </c>
      <c r="D10" s="128" t="s">
        <v>305</v>
      </c>
      <c r="F10" s="128" t="s">
        <v>306</v>
      </c>
      <c r="H10" s="129"/>
      <c r="J10" s="128" t="s">
        <v>150</v>
      </c>
      <c r="L10" s="128" t="s">
        <v>66</v>
      </c>
    </row>
    <row r="11" customFormat="false" ht="18" hidden="false" customHeight="true" outlineLevel="0" collapsed="false">
      <c r="B11" s="128" t="s">
        <v>68</v>
      </c>
      <c r="D11" s="128" t="s">
        <v>307</v>
      </c>
      <c r="F11" s="129"/>
      <c r="H11" s="129"/>
      <c r="J11" s="128" t="s">
        <v>308</v>
      </c>
      <c r="L11" s="129"/>
    </row>
    <row r="12" customFormat="false" ht="18" hidden="false" customHeight="true" outlineLevel="0" collapsed="false">
      <c r="B12" s="128" t="s">
        <v>309</v>
      </c>
      <c r="D12" s="128" t="s">
        <v>310</v>
      </c>
      <c r="F12" s="129"/>
      <c r="H12" s="129"/>
      <c r="J12" s="128" t="s">
        <v>311</v>
      </c>
      <c r="L12" s="129"/>
    </row>
    <row r="13" customFormat="false" ht="18" hidden="false" customHeight="true" outlineLevel="0" collapsed="false">
      <c r="B13" s="128" t="s">
        <v>92</v>
      </c>
      <c r="D13" s="128" t="s">
        <v>312</v>
      </c>
      <c r="F13" s="129"/>
      <c r="H13" s="129"/>
      <c r="J13" s="128" t="s">
        <v>313</v>
      </c>
      <c r="L13" s="129"/>
    </row>
    <row r="14" customFormat="false" ht="18" hidden="false" customHeight="true" outlineLevel="0" collapsed="false">
      <c r="B14" s="128" t="s">
        <v>314</v>
      </c>
      <c r="D14" s="128" t="s">
        <v>315</v>
      </c>
      <c r="F14" s="129"/>
      <c r="H14" s="129"/>
      <c r="J14" s="128" t="s">
        <v>64</v>
      </c>
      <c r="L14" s="129"/>
    </row>
    <row r="15" customFormat="false" ht="18" hidden="false" customHeight="true" outlineLevel="0" collapsed="false">
      <c r="B15" s="128" t="s">
        <v>316</v>
      </c>
      <c r="D15" s="129"/>
      <c r="F15" s="129"/>
      <c r="H15" s="129"/>
      <c r="J15" s="128" t="s">
        <v>317</v>
      </c>
      <c r="L15" s="129"/>
    </row>
    <row r="16" customFormat="false" ht="18" hidden="false" customHeight="true" outlineLevel="0" collapsed="false">
      <c r="B16" s="128" t="s">
        <v>318</v>
      </c>
      <c r="D16" s="129"/>
      <c r="F16" s="129"/>
      <c r="H16" s="129"/>
      <c r="J16" s="129"/>
      <c r="L16" s="129"/>
    </row>
    <row r="17" customFormat="false" ht="18" hidden="false" customHeight="true" outlineLevel="0" collapsed="false">
      <c r="B17" s="128" t="s">
        <v>319</v>
      </c>
      <c r="D17" s="129"/>
      <c r="F17" s="129"/>
      <c r="H17" s="129"/>
      <c r="J17" s="129"/>
      <c r="L17" s="129"/>
    </row>
    <row r="18" customFormat="false" ht="18" hidden="false" customHeight="true" outlineLevel="0" collapsed="false">
      <c r="B18" s="128" t="s">
        <v>320</v>
      </c>
      <c r="D18" s="129"/>
      <c r="F18" s="129"/>
      <c r="H18" s="129"/>
      <c r="J18" s="129"/>
      <c r="L18" s="129"/>
    </row>
    <row r="19" customFormat="false" ht="18" hidden="false" customHeight="true" outlineLevel="0" collapsed="false">
      <c r="B19" s="128" t="s">
        <v>321</v>
      </c>
      <c r="D19" s="129"/>
      <c r="F19" s="129"/>
      <c r="H19" s="129"/>
      <c r="J19" s="129"/>
      <c r="L19" s="129"/>
    </row>
    <row r="20" customFormat="false" ht="18" hidden="false" customHeight="true" outlineLevel="0" collapsed="false">
      <c r="B20" s="129"/>
      <c r="D20" s="129"/>
      <c r="F20" s="129"/>
      <c r="H20" s="129"/>
      <c r="J20" s="129"/>
      <c r="L20" s="129"/>
    </row>
    <row r="21" customFormat="false" ht="18" hidden="false" customHeight="true" outlineLevel="0" collapsed="false">
      <c r="B21" s="129"/>
      <c r="D21" s="129"/>
      <c r="F21" s="129"/>
      <c r="H21" s="129"/>
      <c r="J21" s="129"/>
      <c r="L21" s="129"/>
    </row>
    <row r="22" customFormat="false" ht="18" hidden="false" customHeight="true" outlineLevel="0" collapsed="false">
      <c r="B22" s="129"/>
      <c r="D22" s="129"/>
      <c r="F22" s="129"/>
      <c r="H22" s="129"/>
      <c r="J22" s="129"/>
      <c r="L22" s="129"/>
    </row>
    <row r="23" customFormat="false" ht="18" hidden="false" customHeight="true" outlineLevel="0" collapsed="false">
      <c r="B23" s="129"/>
      <c r="D23" s="129"/>
      <c r="F23" s="129"/>
      <c r="H23" s="129"/>
      <c r="J23" s="129"/>
      <c r="L23" s="129"/>
    </row>
    <row r="24" customFormat="false" ht="18" hidden="false" customHeight="true" outlineLevel="0" collapsed="false">
      <c r="B24" s="129"/>
      <c r="D24" s="129"/>
      <c r="F24" s="129"/>
      <c r="H24" s="129"/>
      <c r="J24" s="129"/>
      <c r="L24" s="129"/>
    </row>
    <row r="25" customFormat="false" ht="18" hidden="false" customHeight="true" outlineLevel="0" collapsed="false">
      <c r="B25" s="129"/>
      <c r="D25" s="129"/>
      <c r="F25" s="129"/>
      <c r="H25" s="129"/>
      <c r="J25" s="129"/>
      <c r="L25" s="129"/>
    </row>
    <row r="26" customFormat="false" ht="18" hidden="false" customHeight="true" outlineLevel="0" collapsed="false">
      <c r="B26" s="129"/>
      <c r="D26" s="129"/>
      <c r="F26" s="129"/>
      <c r="H26" s="129"/>
      <c r="J26" s="129"/>
      <c r="L26" s="129"/>
    </row>
    <row r="28" customFormat="false" ht="15" hidden="false" customHeight="false" outlineLevel="0" collapsed="false">
      <c r="B28" s="130" t="s">
        <v>322</v>
      </c>
      <c r="C28" s="130"/>
      <c r="D28" s="130"/>
      <c r="E28" s="130"/>
      <c r="F28" s="130"/>
      <c r="G28" s="130"/>
      <c r="H28" s="130"/>
      <c r="I28" s="130"/>
      <c r="J28" s="130"/>
      <c r="K28" s="130"/>
      <c r="L28" s="130"/>
    </row>
  </sheetData>
  <mergeCells count="3">
    <mergeCell ref="B3:L3"/>
    <mergeCell ref="B4:L4"/>
    <mergeCell ref="B28:L28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2026-08-15T15:24:49Z</dcterms:created>
  <dc:creator>openpyxl</dc:creator>
  <dc:description/>
  <dc:language>en-US</dc:language>
  <cp:lastModifiedBy/>
  <dcterms:modified xsi:type="dcterms:W3CDTF">2026-08-15T15:24:50Z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